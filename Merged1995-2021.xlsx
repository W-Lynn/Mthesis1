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lai\OneDrive\Desktop\Master's Thesis\"/>
    </mc:Choice>
  </mc:AlternateContent>
  <xr:revisionPtr revIDLastSave="0" documentId="13_ncr:1_{C46C41E8-7837-47DF-B579-27C8F8C77981}" xr6:coauthVersionLast="47" xr6:coauthVersionMax="47" xr10:uidLastSave="{00000000-0000-0000-0000-000000000000}"/>
  <bookViews>
    <workbookView xWindow="-110" yWindow="-110" windowWidth="19420" windowHeight="11500" activeTab="2" xr2:uid="{09388C56-A923-4197-A5F6-25E15C91F003}"/>
  </bookViews>
  <sheets>
    <sheet name="Allprovinces" sheetId="2" r:id="rId1"/>
    <sheet name="cleanprovinces" sheetId="5" r:id="rId2"/>
    <sheet name="panel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2" hidden="1">panel!$A$1:$L$617</definedName>
    <definedName name="ExternalData_1" localSheetId="0" hidden="1">Allprovinces!$A$1:$AC$78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 a="1"/>
  <c r="N2" i="3" s="1"/>
  <c r="M2" i="3" a="1"/>
  <c r="M2" i="3" s="1"/>
  <c r="J2" i="3" a="1"/>
  <c r="J2" i="3" s="1"/>
  <c r="K2" i="3" s="1"/>
  <c r="J3" i="3" a="1"/>
  <c r="J3" i="3" s="1"/>
  <c r="K3" i="3" s="1"/>
  <c r="J4" i="3" a="1"/>
  <c r="J4" i="3" s="1"/>
  <c r="K4" i="3" s="1"/>
  <c r="J5" i="3" a="1"/>
  <c r="J5" i="3" s="1"/>
  <c r="K5" i="3" s="1"/>
  <c r="J6" i="3" a="1"/>
  <c r="J6" i="3" s="1"/>
  <c r="K6" i="3" s="1"/>
  <c r="J7" i="3" a="1"/>
  <c r="J7" i="3" s="1"/>
  <c r="K7" i="3" s="1"/>
  <c r="J8" i="3" a="1"/>
  <c r="J8" i="3" s="1"/>
  <c r="K8" i="3" s="1"/>
  <c r="J9" i="3" a="1"/>
  <c r="J9" i="3" s="1"/>
  <c r="J10" i="3" a="1"/>
  <c r="J10" i="3" s="1"/>
  <c r="K10" i="3" s="1"/>
  <c r="J11" i="3" a="1"/>
  <c r="J11" i="3" s="1"/>
  <c r="J12" i="3" a="1"/>
  <c r="J12" i="3" s="1"/>
  <c r="K12" i="3" s="1"/>
  <c r="J13" i="3" a="1"/>
  <c r="J13" i="3" s="1"/>
  <c r="K13" i="3" s="1"/>
  <c r="J14" i="3" a="1"/>
  <c r="J14" i="3" s="1"/>
  <c r="K14" i="3" s="1"/>
  <c r="J15" i="3" a="1"/>
  <c r="J15" i="3" s="1"/>
  <c r="K15" i="3" s="1"/>
  <c r="J16" i="3" a="1"/>
  <c r="J16" i="3" s="1"/>
  <c r="K16" i="3" s="1"/>
  <c r="J17" i="3" a="1"/>
  <c r="J17" i="3" s="1"/>
  <c r="K17" i="3" s="1"/>
  <c r="J18" i="3" a="1"/>
  <c r="J18" i="3" s="1"/>
  <c r="K18" i="3" s="1"/>
  <c r="J19" i="3" a="1"/>
  <c r="J19" i="3" s="1"/>
  <c r="K19" i="3" s="1"/>
  <c r="J20" i="3" a="1"/>
  <c r="J20" i="3" s="1"/>
  <c r="K20" i="3" s="1"/>
  <c r="J21" i="3" a="1"/>
  <c r="J21" i="3" s="1"/>
  <c r="K21" i="3" s="1"/>
  <c r="J22" i="3" a="1"/>
  <c r="J22" i="3" s="1"/>
  <c r="K22" i="3" s="1"/>
  <c r="J23" i="3" a="1"/>
  <c r="J23" i="3" s="1"/>
  <c r="J24" i="3" a="1"/>
  <c r="J24" i="3" s="1"/>
  <c r="K24" i="3" s="1"/>
  <c r="J25" i="3" a="1"/>
  <c r="J25" i="3" s="1"/>
  <c r="J26" i="3" a="1"/>
  <c r="J26" i="3" s="1"/>
  <c r="K26" i="3" s="1"/>
  <c r="J27" i="3" a="1"/>
  <c r="J27" i="3" s="1"/>
  <c r="J28" i="3" a="1"/>
  <c r="J28" i="3" s="1"/>
  <c r="K28" i="3" s="1"/>
  <c r="J29" i="3" a="1"/>
  <c r="J29" i="3" s="1"/>
  <c r="K29" i="3" s="1"/>
  <c r="J30" i="3" a="1"/>
  <c r="J30" i="3" s="1"/>
  <c r="K30" i="3" s="1"/>
  <c r="J31" i="3" a="1"/>
  <c r="J31" i="3" s="1"/>
  <c r="K31" i="3" s="1"/>
  <c r="J32" i="3" a="1"/>
  <c r="J32" i="3" s="1"/>
  <c r="K32" i="3" s="1"/>
  <c r="J33" i="3" a="1"/>
  <c r="J33" i="3" s="1"/>
  <c r="K33" i="3" s="1"/>
  <c r="J34" i="3" a="1"/>
  <c r="J34" i="3" s="1"/>
  <c r="K34" i="3" s="1"/>
  <c r="J35" i="3" a="1"/>
  <c r="J35" i="3" s="1"/>
  <c r="K35" i="3" s="1"/>
  <c r="J36" i="3" a="1"/>
  <c r="J36" i="3" s="1"/>
  <c r="K36" i="3" s="1"/>
  <c r="J37" i="3" a="1"/>
  <c r="J37" i="3" s="1"/>
  <c r="K37" i="3" s="1"/>
  <c r="J38" i="3" a="1"/>
  <c r="J38" i="3" s="1"/>
  <c r="K38" i="3" s="1"/>
  <c r="J39" i="3" a="1"/>
  <c r="J39" i="3" s="1"/>
  <c r="K39" i="3" s="1"/>
  <c r="J40" i="3" a="1"/>
  <c r="J40" i="3" s="1"/>
  <c r="K40" i="3" s="1"/>
  <c r="J41" i="3" a="1"/>
  <c r="J41" i="3" s="1"/>
  <c r="K41" i="3" s="1"/>
  <c r="J42" i="3" a="1"/>
  <c r="J42" i="3" s="1"/>
  <c r="K42" i="3" s="1"/>
  <c r="J43" i="3" a="1"/>
  <c r="J43" i="3" s="1"/>
  <c r="J44" i="3" a="1"/>
  <c r="J44" i="3" s="1"/>
  <c r="K44" i="3" s="1"/>
  <c r="J45" i="3" a="1"/>
  <c r="J45" i="3" s="1"/>
  <c r="J46" i="3" a="1"/>
  <c r="J46" i="3" s="1"/>
  <c r="J47" i="3" a="1"/>
  <c r="J47" i="3" s="1"/>
  <c r="K47" i="3" s="1"/>
  <c r="J48" i="3" a="1"/>
  <c r="J48" i="3" s="1"/>
  <c r="K48" i="3" s="1"/>
  <c r="J49" i="3" a="1"/>
  <c r="J49" i="3" s="1"/>
  <c r="K49" i="3" s="1"/>
  <c r="J50" i="3" a="1"/>
  <c r="J50" i="3" s="1"/>
  <c r="K50" i="3" s="1"/>
  <c r="J51" i="3" a="1"/>
  <c r="J51" i="3" s="1"/>
  <c r="K51" i="3" s="1"/>
  <c r="J52" i="3" a="1"/>
  <c r="J52" i="3" s="1"/>
  <c r="K52" i="3" s="1"/>
  <c r="J53" i="3" a="1"/>
  <c r="J53" i="3" s="1"/>
  <c r="K53" i="3" s="1"/>
  <c r="J54" i="3" a="1"/>
  <c r="J54" i="3" s="1"/>
  <c r="K54" i="3" s="1"/>
  <c r="J55" i="3" a="1"/>
  <c r="J55" i="3" s="1"/>
  <c r="K55" i="3" s="1"/>
  <c r="J56" i="3" a="1"/>
  <c r="J56" i="3" s="1"/>
  <c r="K56" i="3" s="1"/>
  <c r="J57" i="3" a="1"/>
  <c r="J57" i="3" s="1"/>
  <c r="K57" i="3" s="1"/>
  <c r="J58" i="3" a="1"/>
  <c r="J58" i="3" s="1"/>
  <c r="K58" i="3" s="1"/>
  <c r="J59" i="3" a="1"/>
  <c r="J59" i="3" s="1"/>
  <c r="J60" i="3" a="1"/>
  <c r="J60" i="3" s="1"/>
  <c r="K60" i="3" s="1"/>
  <c r="J61" i="3" a="1"/>
  <c r="J61" i="3" s="1"/>
  <c r="K61" i="3" s="1"/>
  <c r="J62" i="3" a="1"/>
  <c r="J62" i="3" s="1"/>
  <c r="J63" i="3" a="1"/>
  <c r="J63" i="3" s="1"/>
  <c r="K63" i="3" s="1"/>
  <c r="J64" i="3" a="1"/>
  <c r="J64" i="3" s="1"/>
  <c r="K64" i="3" s="1"/>
  <c r="J65" i="3" a="1"/>
  <c r="J65" i="3" s="1"/>
  <c r="K65" i="3" s="1"/>
  <c r="J66" i="3" a="1"/>
  <c r="J66" i="3" s="1"/>
  <c r="K66" i="3" s="1"/>
  <c r="J67" i="3" a="1"/>
  <c r="J67" i="3" s="1"/>
  <c r="K67" i="3" s="1"/>
  <c r="J68" i="3" a="1"/>
  <c r="J68" i="3" s="1"/>
  <c r="K68" i="3" s="1"/>
  <c r="J69" i="3" a="1"/>
  <c r="J69" i="3" s="1"/>
  <c r="K69" i="3" s="1"/>
  <c r="J70" i="3" a="1"/>
  <c r="J70" i="3" s="1"/>
  <c r="K70" i="3" s="1"/>
  <c r="J71" i="3" a="1"/>
  <c r="J71" i="3" s="1"/>
  <c r="K71" i="3" s="1"/>
  <c r="J72" i="3" a="1"/>
  <c r="J72" i="3" s="1"/>
  <c r="K72" i="3" s="1"/>
  <c r="J73" i="3" a="1"/>
  <c r="J73" i="3" s="1"/>
  <c r="K73" i="3" s="1"/>
  <c r="J74" i="3" a="1"/>
  <c r="J74" i="3" s="1"/>
  <c r="K74" i="3" s="1"/>
  <c r="J75" i="3" a="1"/>
  <c r="J75" i="3" s="1"/>
  <c r="J76" i="3" a="1"/>
  <c r="J76" i="3" s="1"/>
  <c r="K76" i="3" s="1"/>
  <c r="J77" i="3" a="1"/>
  <c r="J77" i="3" s="1"/>
  <c r="K77" i="3" s="1"/>
  <c r="J78" i="3" a="1"/>
  <c r="J78" i="3" s="1"/>
  <c r="J79" i="3" a="1"/>
  <c r="J79" i="3" s="1"/>
  <c r="K79" i="3" s="1"/>
  <c r="J80" i="3" a="1"/>
  <c r="J80" i="3" s="1"/>
  <c r="K80" i="3" s="1"/>
  <c r="J81" i="3" a="1"/>
  <c r="J81" i="3" s="1"/>
  <c r="K81" i="3" s="1"/>
  <c r="J82" i="3" a="1"/>
  <c r="J82" i="3" s="1"/>
  <c r="K82" i="3" s="1"/>
  <c r="J83" i="3" a="1"/>
  <c r="J83" i="3" s="1"/>
  <c r="K83" i="3" s="1"/>
  <c r="J84" i="3" a="1"/>
  <c r="J84" i="3" s="1"/>
  <c r="K84" i="3" s="1"/>
  <c r="J85" i="3" a="1"/>
  <c r="J85" i="3" s="1"/>
  <c r="K85" i="3" s="1"/>
  <c r="J86" i="3" a="1"/>
  <c r="J86" i="3" s="1"/>
  <c r="K86" i="3" s="1"/>
  <c r="J87" i="3" a="1"/>
  <c r="J87" i="3" s="1"/>
  <c r="K87" i="3" s="1"/>
  <c r="J88" i="3" a="1"/>
  <c r="J88" i="3" s="1"/>
  <c r="K88" i="3" s="1"/>
  <c r="J89" i="3" a="1"/>
  <c r="J89" i="3" s="1"/>
  <c r="J90" i="3" a="1"/>
  <c r="J90" i="3" s="1"/>
  <c r="K90" i="3" s="1"/>
  <c r="J91" i="3" a="1"/>
  <c r="J91" i="3" s="1"/>
  <c r="J92" i="3" a="1"/>
  <c r="J92" i="3" s="1"/>
  <c r="K92" i="3" s="1"/>
  <c r="J93" i="3" a="1"/>
  <c r="J93" i="3" s="1"/>
  <c r="K93" i="3" s="1"/>
  <c r="J94" i="3" a="1"/>
  <c r="J94" i="3" s="1"/>
  <c r="J95" i="3" a="1"/>
  <c r="J95" i="3" s="1"/>
  <c r="K95" i="3" s="1"/>
  <c r="J96" i="3" a="1"/>
  <c r="J96" i="3" s="1"/>
  <c r="K96" i="3" s="1"/>
  <c r="J97" i="3" a="1"/>
  <c r="J97" i="3" s="1"/>
  <c r="K97" i="3" s="1"/>
  <c r="J98" i="3" a="1"/>
  <c r="J98" i="3" s="1"/>
  <c r="K98" i="3" s="1"/>
  <c r="J99" i="3" a="1"/>
  <c r="J99" i="3" s="1"/>
  <c r="K99" i="3" s="1"/>
  <c r="J100" i="3" a="1"/>
  <c r="J100" i="3" s="1"/>
  <c r="J101" i="3" a="1"/>
  <c r="J101" i="3" s="1"/>
  <c r="K101" i="3" s="1"/>
  <c r="J102" i="3" a="1"/>
  <c r="J102" i="3" s="1"/>
  <c r="J103" i="3" a="1"/>
  <c r="J103" i="3" s="1"/>
  <c r="K103" i="3" s="1"/>
  <c r="J104" i="3" a="1"/>
  <c r="J104" i="3" s="1"/>
  <c r="K104" i="3" s="1"/>
  <c r="J105" i="3" a="1"/>
  <c r="J105" i="3" s="1"/>
  <c r="K105" i="3" s="1"/>
  <c r="J106" i="3" a="1"/>
  <c r="J106" i="3" s="1"/>
  <c r="K106" i="3" s="1"/>
  <c r="J107" i="3" a="1"/>
  <c r="J107" i="3" s="1"/>
  <c r="J108" i="3" a="1"/>
  <c r="J108" i="3" s="1"/>
  <c r="K108" i="3" s="1"/>
  <c r="J109" i="3" a="1"/>
  <c r="J109" i="3" s="1"/>
  <c r="J110" i="3" a="1"/>
  <c r="J110" i="3" s="1"/>
  <c r="J111" i="3" a="1"/>
  <c r="J111" i="3" s="1"/>
  <c r="K111" i="3" s="1"/>
  <c r="J112" i="3" a="1"/>
  <c r="J112" i="3" s="1"/>
  <c r="K112" i="3" s="1"/>
  <c r="J113" i="3" a="1"/>
  <c r="J113" i="3" s="1"/>
  <c r="K113" i="3" s="1"/>
  <c r="J114" i="3" a="1"/>
  <c r="J114" i="3" s="1"/>
  <c r="K114" i="3" s="1"/>
  <c r="J115" i="3" a="1"/>
  <c r="J115" i="3" s="1"/>
  <c r="K115" i="3" s="1"/>
  <c r="J116" i="3" a="1"/>
  <c r="J116" i="3" s="1"/>
  <c r="J117" i="3" a="1"/>
  <c r="J117" i="3" s="1"/>
  <c r="K117" i="3" s="1"/>
  <c r="J118" i="3" a="1"/>
  <c r="J118" i="3" s="1"/>
  <c r="J119" i="3" a="1"/>
  <c r="J119" i="3" s="1"/>
  <c r="K119" i="3" s="1"/>
  <c r="J120" i="3" a="1"/>
  <c r="J120" i="3" s="1"/>
  <c r="J121" i="3" a="1"/>
  <c r="J121" i="3" s="1"/>
  <c r="J122" i="3" a="1"/>
  <c r="J122" i="3" s="1"/>
  <c r="J123" i="3" a="1"/>
  <c r="J123" i="3" s="1"/>
  <c r="J124" i="3" a="1"/>
  <c r="J124" i="3" s="1"/>
  <c r="J125" i="3" a="1"/>
  <c r="J125" i="3" s="1"/>
  <c r="K125" i="3" s="1"/>
  <c r="J126" i="3" a="1"/>
  <c r="J126" i="3" s="1"/>
  <c r="J127" i="3" a="1"/>
  <c r="J127" i="3" s="1"/>
  <c r="K127" i="3" s="1"/>
  <c r="J128" i="3" a="1"/>
  <c r="J128" i="3" s="1"/>
  <c r="K128" i="3" s="1"/>
  <c r="J129" i="3" a="1"/>
  <c r="J129" i="3" s="1"/>
  <c r="K129" i="3" s="1"/>
  <c r="J130" i="3" a="1"/>
  <c r="J130" i="3" s="1"/>
  <c r="K130" i="3" s="1"/>
  <c r="J131" i="3" a="1"/>
  <c r="J131" i="3" s="1"/>
  <c r="K131" i="3" s="1"/>
  <c r="J132" i="3" a="1"/>
  <c r="J132" i="3" s="1"/>
  <c r="K132" i="3" s="1"/>
  <c r="J133" i="3" a="1"/>
  <c r="J133" i="3" s="1"/>
  <c r="K133" i="3" s="1"/>
  <c r="J134" i="3" a="1"/>
  <c r="J134" i="3" s="1"/>
  <c r="K134" i="3" s="1"/>
  <c r="J135" i="3" a="1"/>
  <c r="J135" i="3" s="1"/>
  <c r="K135" i="3" s="1"/>
  <c r="J136" i="3" a="1"/>
  <c r="J136" i="3" s="1"/>
  <c r="K136" i="3" s="1"/>
  <c r="J137" i="3" a="1"/>
  <c r="J137" i="3" s="1"/>
  <c r="J138" i="3" a="1"/>
  <c r="J138" i="3" s="1"/>
  <c r="J139" i="3" a="1"/>
  <c r="J139" i="3" s="1"/>
  <c r="J140" i="3" a="1"/>
  <c r="J140" i="3" s="1"/>
  <c r="J141" i="3" a="1"/>
  <c r="J141" i="3" s="1"/>
  <c r="K141" i="3" s="1"/>
  <c r="J142" i="3" a="1"/>
  <c r="J142" i="3" s="1"/>
  <c r="J143" i="3" a="1"/>
  <c r="J143" i="3" s="1"/>
  <c r="K143" i="3" s="1"/>
  <c r="J144" i="3" a="1"/>
  <c r="J144" i="3" s="1"/>
  <c r="K144" i="3" s="1"/>
  <c r="J145" i="3" a="1"/>
  <c r="J145" i="3" s="1"/>
  <c r="K145" i="3" s="1"/>
  <c r="J146" i="3" a="1"/>
  <c r="J146" i="3" s="1"/>
  <c r="K146" i="3" s="1"/>
  <c r="J147" i="3" a="1"/>
  <c r="J147" i="3" s="1"/>
  <c r="K147" i="3" s="1"/>
  <c r="J148" i="3" a="1"/>
  <c r="J148" i="3" s="1"/>
  <c r="J149" i="3" a="1"/>
  <c r="J149" i="3" s="1"/>
  <c r="K149" i="3" s="1"/>
  <c r="J150" i="3" a="1"/>
  <c r="J150" i="3" s="1"/>
  <c r="J151" i="3" a="1"/>
  <c r="J151" i="3" s="1"/>
  <c r="K151" i="3" s="1"/>
  <c r="J152" i="3" a="1"/>
  <c r="J152" i="3" s="1"/>
  <c r="K152" i="3" s="1"/>
  <c r="J153" i="3" a="1"/>
  <c r="J153" i="3" s="1"/>
  <c r="K153" i="3" s="1"/>
  <c r="J154" i="3" a="1"/>
  <c r="J154" i="3" s="1"/>
  <c r="K154" i="3" s="1"/>
  <c r="J155" i="3" a="1"/>
  <c r="J155" i="3" s="1"/>
  <c r="J156" i="3" a="1"/>
  <c r="J156" i="3" s="1"/>
  <c r="J157" i="3" a="1"/>
  <c r="J157" i="3" s="1"/>
  <c r="K157" i="3" s="1"/>
  <c r="J158" i="3" a="1"/>
  <c r="J158" i="3" s="1"/>
  <c r="J159" i="3" a="1"/>
  <c r="J159" i="3" s="1"/>
  <c r="K159" i="3" s="1"/>
  <c r="J160" i="3" a="1"/>
  <c r="J160" i="3" s="1"/>
  <c r="K160" i="3" s="1"/>
  <c r="J161" i="3" a="1"/>
  <c r="J161" i="3" s="1"/>
  <c r="K161" i="3" s="1"/>
  <c r="J162" i="3" a="1"/>
  <c r="J162" i="3" s="1"/>
  <c r="K162" i="3" s="1"/>
  <c r="J163" i="3" a="1"/>
  <c r="J163" i="3" s="1"/>
  <c r="K163" i="3" s="1"/>
  <c r="J164" i="3" a="1"/>
  <c r="J164" i="3" s="1"/>
  <c r="K164" i="3" s="1"/>
  <c r="J165" i="3" a="1"/>
  <c r="J165" i="3" s="1"/>
  <c r="K165" i="3" s="1"/>
  <c r="J166" i="3" a="1"/>
  <c r="J166" i="3" s="1"/>
  <c r="J167" i="3" a="1"/>
  <c r="J167" i="3" s="1"/>
  <c r="K167" i="3" s="1"/>
  <c r="J168" i="3" a="1"/>
  <c r="J168" i="3" s="1"/>
  <c r="J169" i="3" a="1"/>
  <c r="J169" i="3" s="1"/>
  <c r="K169" i="3" s="1"/>
  <c r="J170" i="3" a="1"/>
  <c r="J170" i="3" s="1"/>
  <c r="J171" i="3" a="1"/>
  <c r="J171" i="3" s="1"/>
  <c r="J172" i="3" a="1"/>
  <c r="J172" i="3" s="1"/>
  <c r="J173" i="3" a="1"/>
  <c r="J173" i="3" s="1"/>
  <c r="K173" i="3" s="1"/>
  <c r="J174" i="3" a="1"/>
  <c r="J174" i="3" s="1"/>
  <c r="J175" i="3" a="1"/>
  <c r="J175" i="3" s="1"/>
  <c r="K175" i="3" s="1"/>
  <c r="J176" i="3" a="1"/>
  <c r="J176" i="3" s="1"/>
  <c r="K176" i="3" s="1"/>
  <c r="J177" i="3" a="1"/>
  <c r="J177" i="3" s="1"/>
  <c r="K177" i="3" s="1"/>
  <c r="J178" i="3" a="1"/>
  <c r="J178" i="3" s="1"/>
  <c r="K178" i="3" s="1"/>
  <c r="J179" i="3" a="1"/>
  <c r="J179" i="3" s="1"/>
  <c r="K179" i="3" s="1"/>
  <c r="J180" i="3" a="1"/>
  <c r="J180" i="3" s="1"/>
  <c r="J181" i="3" a="1"/>
  <c r="J181" i="3" s="1"/>
  <c r="K181" i="3" s="1"/>
  <c r="J182" i="3" a="1"/>
  <c r="J182" i="3" s="1"/>
  <c r="K182" i="3" s="1"/>
  <c r="J183" i="3" a="1"/>
  <c r="J183" i="3" s="1"/>
  <c r="K183" i="3" s="1"/>
  <c r="J184" i="3" a="1"/>
  <c r="J184" i="3" s="1"/>
  <c r="K184" i="3" s="1"/>
  <c r="J185" i="3" a="1"/>
  <c r="J185" i="3" s="1"/>
  <c r="K185" i="3" s="1"/>
  <c r="J186" i="3" a="1"/>
  <c r="J186" i="3" s="1"/>
  <c r="K186" i="3" s="1"/>
  <c r="J187" i="3" a="1"/>
  <c r="J187" i="3" s="1"/>
  <c r="J188" i="3" a="1"/>
  <c r="J188" i="3" s="1"/>
  <c r="J189" i="3" a="1"/>
  <c r="J189" i="3" s="1"/>
  <c r="K189" i="3" s="1"/>
  <c r="J190" i="3" a="1"/>
  <c r="J190" i="3" s="1"/>
  <c r="J191" i="3" a="1"/>
  <c r="J191" i="3" s="1"/>
  <c r="K191" i="3" s="1"/>
  <c r="J192" i="3" a="1"/>
  <c r="J192" i="3" s="1"/>
  <c r="K192" i="3" s="1"/>
  <c r="J193" i="3" a="1"/>
  <c r="J193" i="3" s="1"/>
  <c r="K193" i="3" s="1"/>
  <c r="J194" i="3" a="1"/>
  <c r="J194" i="3" s="1"/>
  <c r="K194" i="3" s="1"/>
  <c r="J195" i="3" a="1"/>
  <c r="J195" i="3" s="1"/>
  <c r="K195" i="3" s="1"/>
  <c r="J196" i="3" a="1"/>
  <c r="J196" i="3" s="1"/>
  <c r="K196" i="3" s="1"/>
  <c r="J197" i="3" a="1"/>
  <c r="J197" i="3" s="1"/>
  <c r="K197" i="3" s="1"/>
  <c r="J198" i="3" a="1"/>
  <c r="J198" i="3" s="1"/>
  <c r="K198" i="3" s="1"/>
  <c r="J199" i="3" a="1"/>
  <c r="J199" i="3" s="1"/>
  <c r="K199" i="3" s="1"/>
  <c r="J200" i="3" a="1"/>
  <c r="J200" i="3" s="1"/>
  <c r="K200" i="3" s="1"/>
  <c r="J201" i="3" a="1"/>
  <c r="J201" i="3" s="1"/>
  <c r="J202" i="3" a="1"/>
  <c r="J202" i="3" s="1"/>
  <c r="J203" i="3" a="1"/>
  <c r="J203" i="3" s="1"/>
  <c r="J204" i="3" a="1"/>
  <c r="J204" i="3" s="1"/>
  <c r="J205" i="3" a="1"/>
  <c r="J205" i="3" s="1"/>
  <c r="K205" i="3" s="1"/>
  <c r="J206" i="3" a="1"/>
  <c r="J206" i="3" s="1"/>
  <c r="J207" i="3" a="1"/>
  <c r="J207" i="3" s="1"/>
  <c r="K207" i="3" s="1"/>
  <c r="J208" i="3" a="1"/>
  <c r="J208" i="3" s="1"/>
  <c r="K208" i="3" s="1"/>
  <c r="J209" i="3" a="1"/>
  <c r="J209" i="3" s="1"/>
  <c r="K209" i="3" s="1"/>
  <c r="J210" i="3" a="1"/>
  <c r="J210" i="3" s="1"/>
  <c r="K210" i="3" s="1"/>
  <c r="J211" i="3" a="1"/>
  <c r="J211" i="3" s="1"/>
  <c r="K211" i="3" s="1"/>
  <c r="J212" i="3" a="1"/>
  <c r="J212" i="3" s="1"/>
  <c r="K212" i="3" s="1"/>
  <c r="J213" i="3" a="1"/>
  <c r="J213" i="3" s="1"/>
  <c r="K213" i="3" s="1"/>
  <c r="J214" i="3" a="1"/>
  <c r="J214" i="3" s="1"/>
  <c r="J215" i="3" a="1"/>
  <c r="J215" i="3" s="1"/>
  <c r="K215" i="3" s="1"/>
  <c r="J216" i="3" a="1"/>
  <c r="J216" i="3" s="1"/>
  <c r="J217" i="3" a="1"/>
  <c r="J217" i="3" s="1"/>
  <c r="J218" i="3" a="1"/>
  <c r="J218" i="3" s="1"/>
  <c r="K218" i="3" s="1"/>
  <c r="J219" i="3" a="1"/>
  <c r="J219" i="3" s="1"/>
  <c r="J220" i="3" a="1"/>
  <c r="J220" i="3" s="1"/>
  <c r="J221" i="3" a="1"/>
  <c r="J221" i="3" s="1"/>
  <c r="K221" i="3" s="1"/>
  <c r="J222" i="3" a="1"/>
  <c r="J222" i="3" s="1"/>
  <c r="J223" i="3" a="1"/>
  <c r="J223" i="3" s="1"/>
  <c r="K223" i="3" s="1"/>
  <c r="J224" i="3" a="1"/>
  <c r="J224" i="3" s="1"/>
  <c r="K224" i="3" s="1"/>
  <c r="J225" i="3" a="1"/>
  <c r="J225" i="3" s="1"/>
  <c r="K225" i="3" s="1"/>
  <c r="J226" i="3" a="1"/>
  <c r="J226" i="3" s="1"/>
  <c r="K226" i="3" s="1"/>
  <c r="J227" i="3" a="1"/>
  <c r="J227" i="3" s="1"/>
  <c r="K227" i="3" s="1"/>
  <c r="J228" i="3" a="1"/>
  <c r="J228" i="3" s="1"/>
  <c r="K228" i="3" s="1"/>
  <c r="J229" i="3" a="1"/>
  <c r="J229" i="3" s="1"/>
  <c r="K229" i="3" s="1"/>
  <c r="J230" i="3" a="1"/>
  <c r="J230" i="3" s="1"/>
  <c r="J231" i="3" a="1"/>
  <c r="J231" i="3" s="1"/>
  <c r="K231" i="3" s="1"/>
  <c r="J232" i="3" a="1"/>
  <c r="J232" i="3" s="1"/>
  <c r="K232" i="3" s="1"/>
  <c r="J233" i="3" a="1"/>
  <c r="J233" i="3" s="1"/>
  <c r="K233" i="3" s="1"/>
  <c r="J234" i="3" a="1"/>
  <c r="J234" i="3" s="1"/>
  <c r="K234" i="3" s="1"/>
  <c r="J235" i="3" a="1"/>
  <c r="J235" i="3" s="1"/>
  <c r="J236" i="3" a="1"/>
  <c r="J236" i="3" s="1"/>
  <c r="J237" i="3" a="1"/>
  <c r="J237" i="3" s="1"/>
  <c r="K237" i="3" s="1"/>
  <c r="J238" i="3" a="1"/>
  <c r="J238" i="3" s="1"/>
  <c r="K238" i="3" s="1"/>
  <c r="J239" i="3" a="1"/>
  <c r="J239" i="3" s="1"/>
  <c r="K239" i="3" s="1"/>
  <c r="J240" i="3" a="1"/>
  <c r="J240" i="3" s="1"/>
  <c r="K240" i="3" s="1"/>
  <c r="J241" i="3" a="1"/>
  <c r="J241" i="3" s="1"/>
  <c r="K241" i="3" s="1"/>
  <c r="J242" i="3" a="1"/>
  <c r="J242" i="3" s="1"/>
  <c r="K242" i="3" s="1"/>
  <c r="J243" i="3" a="1"/>
  <c r="J243" i="3" s="1"/>
  <c r="K243" i="3" s="1"/>
  <c r="J244" i="3" a="1"/>
  <c r="J244" i="3" s="1"/>
  <c r="J245" i="3" a="1"/>
  <c r="J245" i="3" s="1"/>
  <c r="K245" i="3" s="1"/>
  <c r="J246" i="3" a="1"/>
  <c r="J246" i="3" s="1"/>
  <c r="K246" i="3" s="1"/>
  <c r="J247" i="3" a="1"/>
  <c r="J247" i="3" s="1"/>
  <c r="K247" i="3" s="1"/>
  <c r="J248" i="3" a="1"/>
  <c r="J248" i="3" s="1"/>
  <c r="J249" i="3" a="1"/>
  <c r="J249" i="3" s="1"/>
  <c r="J250" i="3" a="1"/>
  <c r="J250" i="3" s="1"/>
  <c r="J251" i="3" a="1"/>
  <c r="J251" i="3" s="1"/>
  <c r="J252" i="3" a="1"/>
  <c r="J252" i="3" s="1"/>
  <c r="J253" i="3" a="1"/>
  <c r="J253" i="3" s="1"/>
  <c r="K253" i="3" s="1"/>
  <c r="J254" i="3" a="1"/>
  <c r="J254" i="3" s="1"/>
  <c r="K254" i="3" s="1"/>
  <c r="J255" i="3" a="1"/>
  <c r="J255" i="3" s="1"/>
  <c r="K255" i="3" s="1"/>
  <c r="J256" i="3" a="1"/>
  <c r="J256" i="3" s="1"/>
  <c r="K256" i="3" s="1"/>
  <c r="J257" i="3" a="1"/>
  <c r="J257" i="3" s="1"/>
  <c r="K257" i="3" s="1"/>
  <c r="J258" i="3" a="1"/>
  <c r="J258" i="3" s="1"/>
  <c r="K258" i="3" s="1"/>
  <c r="J259" i="3" a="1"/>
  <c r="J259" i="3" s="1"/>
  <c r="K259" i="3" s="1"/>
  <c r="J260" i="3" a="1"/>
  <c r="J260" i="3" s="1"/>
  <c r="J261" i="3" a="1"/>
  <c r="J261" i="3" s="1"/>
  <c r="K261" i="3" s="1"/>
  <c r="J262" i="3" a="1"/>
  <c r="J262" i="3" s="1"/>
  <c r="J263" i="3" a="1"/>
  <c r="J263" i="3" s="1"/>
  <c r="K263" i="3" s="1"/>
  <c r="J264" i="3" a="1"/>
  <c r="J264" i="3" s="1"/>
  <c r="K264" i="3" s="1"/>
  <c r="J265" i="3" a="1"/>
  <c r="J265" i="3" s="1"/>
  <c r="J266" i="3" a="1"/>
  <c r="J266" i="3" s="1"/>
  <c r="K266" i="3" s="1"/>
  <c r="J267" i="3" a="1"/>
  <c r="J267" i="3" s="1"/>
  <c r="K267" i="3" s="1"/>
  <c r="J268" i="3" a="1"/>
  <c r="J268" i="3" s="1"/>
  <c r="J269" i="3" a="1"/>
  <c r="J269" i="3" s="1"/>
  <c r="J270" i="3" a="1"/>
  <c r="J270" i="3" s="1"/>
  <c r="J271" i="3" a="1"/>
  <c r="J271" i="3" s="1"/>
  <c r="K271" i="3" s="1"/>
  <c r="J272" i="3" a="1"/>
  <c r="J272" i="3" s="1"/>
  <c r="K272" i="3" s="1"/>
  <c r="J273" i="3" a="1"/>
  <c r="J273" i="3" s="1"/>
  <c r="K273" i="3" s="1"/>
  <c r="J274" i="3" a="1"/>
  <c r="J274" i="3" s="1"/>
  <c r="K274" i="3" s="1"/>
  <c r="J275" i="3" a="1"/>
  <c r="J275" i="3" s="1"/>
  <c r="K275" i="3" s="1"/>
  <c r="J276" i="3" a="1"/>
  <c r="J276" i="3" s="1"/>
  <c r="K276" i="3" s="1"/>
  <c r="J277" i="3" a="1"/>
  <c r="J277" i="3" s="1"/>
  <c r="K277" i="3" s="1"/>
  <c r="J278" i="3" a="1"/>
  <c r="J278" i="3" s="1"/>
  <c r="J279" i="3" a="1"/>
  <c r="J279" i="3" s="1"/>
  <c r="K279" i="3" s="1"/>
  <c r="J280" i="3" a="1"/>
  <c r="J280" i="3" s="1"/>
  <c r="J281" i="3" a="1"/>
  <c r="J281" i="3" s="1"/>
  <c r="K281" i="3" s="1"/>
  <c r="J282" i="3" a="1"/>
  <c r="J282" i="3" s="1"/>
  <c r="K282" i="3" s="1"/>
  <c r="J283" i="3" a="1"/>
  <c r="J283" i="3" s="1"/>
  <c r="K283" i="3" s="1"/>
  <c r="J284" i="3" a="1"/>
  <c r="J284" i="3" s="1"/>
  <c r="J285" i="3" a="1"/>
  <c r="J285" i="3" s="1"/>
  <c r="J286" i="3" a="1"/>
  <c r="J286" i="3" s="1"/>
  <c r="J287" i="3" a="1"/>
  <c r="J287" i="3" s="1"/>
  <c r="K287" i="3" s="1"/>
  <c r="J288" i="3" a="1"/>
  <c r="J288" i="3" s="1"/>
  <c r="K288" i="3" s="1"/>
  <c r="J289" i="3" a="1"/>
  <c r="J289" i="3" s="1"/>
  <c r="K289" i="3" s="1"/>
  <c r="J290" i="3" a="1"/>
  <c r="J290" i="3" s="1"/>
  <c r="K290" i="3" s="1"/>
  <c r="J291" i="3" a="1"/>
  <c r="J291" i="3" s="1"/>
  <c r="K291" i="3" s="1"/>
  <c r="J292" i="3" a="1"/>
  <c r="J292" i="3" s="1"/>
  <c r="J293" i="3" a="1"/>
  <c r="J293" i="3" s="1"/>
  <c r="K293" i="3" s="1"/>
  <c r="J294" i="3" a="1"/>
  <c r="J294" i="3" s="1"/>
  <c r="J295" i="3" a="1"/>
  <c r="J295" i="3" s="1"/>
  <c r="K295" i="3" s="1"/>
  <c r="J296" i="3" a="1"/>
  <c r="J296" i="3" s="1"/>
  <c r="J297" i="3" a="1"/>
  <c r="J297" i="3" s="1"/>
  <c r="K297" i="3" s="1"/>
  <c r="J298" i="3" a="1"/>
  <c r="J298" i="3" s="1"/>
  <c r="K298" i="3" s="1"/>
  <c r="J299" i="3" a="1"/>
  <c r="J299" i="3" s="1"/>
  <c r="K299" i="3" s="1"/>
  <c r="J300" i="3" a="1"/>
  <c r="J300" i="3" s="1"/>
  <c r="J301" i="3" a="1"/>
  <c r="J301" i="3" s="1"/>
  <c r="K301" i="3" s="1"/>
  <c r="J302" i="3" a="1"/>
  <c r="J302" i="3" s="1"/>
  <c r="J303" i="3" a="1"/>
  <c r="J303" i="3" s="1"/>
  <c r="K303" i="3" s="1"/>
  <c r="J304" i="3" a="1"/>
  <c r="J304" i="3" s="1"/>
  <c r="K304" i="3" s="1"/>
  <c r="J305" i="3" a="1"/>
  <c r="J305" i="3" s="1"/>
  <c r="K305" i="3" s="1"/>
  <c r="J306" i="3" a="1"/>
  <c r="J306" i="3" s="1"/>
  <c r="K306" i="3" s="1"/>
  <c r="J307" i="3" a="1"/>
  <c r="J307" i="3" s="1"/>
  <c r="K307" i="3" s="1"/>
  <c r="J308" i="3" a="1"/>
  <c r="J308" i="3" s="1"/>
  <c r="J309" i="3" a="1"/>
  <c r="J309" i="3" s="1"/>
  <c r="K309" i="3" s="1"/>
  <c r="J310" i="3" a="1"/>
  <c r="J310" i="3" s="1"/>
  <c r="K310" i="3" s="1"/>
  <c r="J311" i="3" a="1"/>
  <c r="J311" i="3" s="1"/>
  <c r="K311" i="3" s="1"/>
  <c r="J312" i="3" a="1"/>
  <c r="J312" i="3" s="1"/>
  <c r="K312" i="3" s="1"/>
  <c r="J313" i="3" a="1"/>
  <c r="J313" i="3" s="1"/>
  <c r="J314" i="3" a="1"/>
  <c r="J314" i="3" s="1"/>
  <c r="K314" i="3" s="1"/>
  <c r="J315" i="3" a="1"/>
  <c r="J315" i="3" s="1"/>
  <c r="K315" i="3" s="1"/>
  <c r="J316" i="3" a="1"/>
  <c r="J316" i="3" s="1"/>
  <c r="J317" i="3" a="1"/>
  <c r="J317" i="3" s="1"/>
  <c r="K317" i="3" s="1"/>
  <c r="J318" i="3" a="1"/>
  <c r="J318" i="3" s="1"/>
  <c r="J319" i="3" a="1"/>
  <c r="J319" i="3" s="1"/>
  <c r="K319" i="3" s="1"/>
  <c r="J320" i="3" a="1"/>
  <c r="J320" i="3" s="1"/>
  <c r="K320" i="3" s="1"/>
  <c r="J321" i="3" a="1"/>
  <c r="J321" i="3" s="1"/>
  <c r="K321" i="3" s="1"/>
  <c r="J322" i="3" a="1"/>
  <c r="J322" i="3" s="1"/>
  <c r="K322" i="3" s="1"/>
  <c r="J323" i="3" a="1"/>
  <c r="J323" i="3" s="1"/>
  <c r="K323" i="3" s="1"/>
  <c r="J324" i="3" a="1"/>
  <c r="J324" i="3" s="1"/>
  <c r="K324" i="3" s="1"/>
  <c r="J325" i="3" a="1"/>
  <c r="J325" i="3" s="1"/>
  <c r="K325" i="3" s="1"/>
  <c r="J326" i="3" a="1"/>
  <c r="J326" i="3" s="1"/>
  <c r="J327" i="3" a="1"/>
  <c r="J327" i="3" s="1"/>
  <c r="K327" i="3" s="1"/>
  <c r="J328" i="3" a="1"/>
  <c r="J328" i="3" s="1"/>
  <c r="K328" i="3" s="1"/>
  <c r="J329" i="3" a="1"/>
  <c r="J329" i="3" s="1"/>
  <c r="K329" i="3" s="1"/>
  <c r="J330" i="3" a="1"/>
  <c r="J330" i="3" s="1"/>
  <c r="J331" i="3" a="1"/>
  <c r="J331" i="3" s="1"/>
  <c r="K331" i="3" s="1"/>
  <c r="J332" i="3" a="1"/>
  <c r="J332" i="3" s="1"/>
  <c r="K332" i="3" s="1"/>
  <c r="J333" i="3" a="1"/>
  <c r="J333" i="3" s="1"/>
  <c r="K333" i="3" s="1"/>
  <c r="J334" i="3" a="1"/>
  <c r="J334" i="3" s="1"/>
  <c r="J335" i="3" a="1"/>
  <c r="J335" i="3" s="1"/>
  <c r="K335" i="3" s="1"/>
  <c r="J336" i="3" a="1"/>
  <c r="J336" i="3" s="1"/>
  <c r="K336" i="3" s="1"/>
  <c r="J337" i="3" a="1"/>
  <c r="J337" i="3" s="1"/>
  <c r="K337" i="3" s="1"/>
  <c r="J338" i="3" a="1"/>
  <c r="J338" i="3" s="1"/>
  <c r="J339" i="3" a="1"/>
  <c r="J339" i="3" s="1"/>
  <c r="K339" i="3" s="1"/>
  <c r="J340" i="3" a="1"/>
  <c r="J340" i="3" s="1"/>
  <c r="K340" i="3" s="1"/>
  <c r="J341" i="3" a="1"/>
  <c r="J341" i="3" s="1"/>
  <c r="K341" i="3" s="1"/>
  <c r="J342" i="3" a="1"/>
  <c r="J342" i="3" s="1"/>
  <c r="K342" i="3" s="1"/>
  <c r="J343" i="3" a="1"/>
  <c r="J343" i="3" s="1"/>
  <c r="K343" i="3" s="1"/>
  <c r="J344" i="3" a="1"/>
  <c r="J344" i="3" s="1"/>
  <c r="J345" i="3" a="1"/>
  <c r="J345" i="3" s="1"/>
  <c r="K345" i="3" s="1"/>
  <c r="J346" i="3" a="1"/>
  <c r="J346" i="3" s="1"/>
  <c r="J347" i="3" a="1"/>
  <c r="J347" i="3" s="1"/>
  <c r="J348" i="3" a="1"/>
  <c r="J348" i="3" s="1"/>
  <c r="K348" i="3" s="1"/>
  <c r="J349" i="3" a="1"/>
  <c r="J349" i="3" s="1"/>
  <c r="K349" i="3" s="1"/>
  <c r="J350" i="3" a="1"/>
  <c r="J350" i="3" s="1"/>
  <c r="K350" i="3" s="1"/>
  <c r="J351" i="3" a="1"/>
  <c r="J351" i="3" s="1"/>
  <c r="K351" i="3" s="1"/>
  <c r="J352" i="3" a="1"/>
  <c r="J352" i="3" s="1"/>
  <c r="K352" i="3" s="1"/>
  <c r="J353" i="3" a="1"/>
  <c r="J353" i="3" s="1"/>
  <c r="K353" i="3" s="1"/>
  <c r="J354" i="3" a="1"/>
  <c r="J354" i="3" s="1"/>
  <c r="K354" i="3" s="1"/>
  <c r="J355" i="3" a="1"/>
  <c r="J355" i="3" s="1"/>
  <c r="K355" i="3" s="1"/>
  <c r="J356" i="3" a="1"/>
  <c r="J356" i="3" s="1"/>
  <c r="K356" i="3" s="1"/>
  <c r="J357" i="3" a="1"/>
  <c r="J357" i="3" s="1"/>
  <c r="K357" i="3" s="1"/>
  <c r="J358" i="3" a="1"/>
  <c r="J358" i="3" s="1"/>
  <c r="K358" i="3" s="1"/>
  <c r="J359" i="3" a="1"/>
  <c r="J359" i="3" s="1"/>
  <c r="K359" i="3" s="1"/>
  <c r="J360" i="3" a="1"/>
  <c r="J360" i="3" s="1"/>
  <c r="K360" i="3" s="1"/>
  <c r="J361" i="3" a="1"/>
  <c r="J361" i="3" s="1"/>
  <c r="K361" i="3" s="1"/>
  <c r="J362" i="3" a="1"/>
  <c r="J362" i="3" s="1"/>
  <c r="K362" i="3" s="1"/>
  <c r="J363" i="3" a="1"/>
  <c r="J363" i="3" s="1"/>
  <c r="K363" i="3" s="1"/>
  <c r="J364" i="3" a="1"/>
  <c r="J364" i="3" s="1"/>
  <c r="J365" i="3" a="1"/>
  <c r="J365" i="3" s="1"/>
  <c r="K365" i="3" s="1"/>
  <c r="J366" i="3" a="1"/>
  <c r="J366" i="3" s="1"/>
  <c r="J367" i="3" a="1"/>
  <c r="J367" i="3" s="1"/>
  <c r="K367" i="3" s="1"/>
  <c r="J368" i="3" a="1"/>
  <c r="J368" i="3" s="1"/>
  <c r="K368" i="3" s="1"/>
  <c r="J369" i="3" a="1"/>
  <c r="J369" i="3" s="1"/>
  <c r="K369" i="3" s="1"/>
  <c r="J370" i="3" a="1"/>
  <c r="J370" i="3" s="1"/>
  <c r="K370" i="3" s="1"/>
  <c r="J371" i="3" a="1"/>
  <c r="J371" i="3" s="1"/>
  <c r="K371" i="3" s="1"/>
  <c r="J372" i="3" a="1"/>
  <c r="J372" i="3" s="1"/>
  <c r="J373" i="3" a="1"/>
  <c r="J373" i="3" s="1"/>
  <c r="K373" i="3" s="1"/>
  <c r="J374" i="3" a="1"/>
  <c r="J374" i="3" s="1"/>
  <c r="K374" i="3" s="1"/>
  <c r="J375" i="3" a="1"/>
  <c r="J375" i="3" s="1"/>
  <c r="K375" i="3" s="1"/>
  <c r="J376" i="3" a="1"/>
  <c r="J376" i="3" s="1"/>
  <c r="K376" i="3" s="1"/>
  <c r="J377" i="3" a="1"/>
  <c r="J377" i="3" s="1"/>
  <c r="K377" i="3" s="1"/>
  <c r="J378" i="3" a="1"/>
  <c r="J378" i="3" s="1"/>
  <c r="K378" i="3" s="1"/>
  <c r="J379" i="3" a="1"/>
  <c r="J379" i="3" s="1"/>
  <c r="K379" i="3" s="1"/>
  <c r="J380" i="3" a="1"/>
  <c r="J380" i="3" s="1"/>
  <c r="K380" i="3" s="1"/>
  <c r="J381" i="3" a="1"/>
  <c r="J381" i="3" s="1"/>
  <c r="K381" i="3" s="1"/>
  <c r="J382" i="3" a="1"/>
  <c r="J382" i="3" s="1"/>
  <c r="J383" i="3" a="1"/>
  <c r="J383" i="3" s="1"/>
  <c r="K383" i="3" s="1"/>
  <c r="J384" i="3" a="1"/>
  <c r="J384" i="3" s="1"/>
  <c r="K384" i="3" s="1"/>
  <c r="J385" i="3" a="1"/>
  <c r="J385" i="3" s="1"/>
  <c r="K385" i="3" s="1"/>
  <c r="J386" i="3" a="1"/>
  <c r="J386" i="3" s="1"/>
  <c r="K386" i="3" s="1"/>
  <c r="J387" i="3" a="1"/>
  <c r="J387" i="3" s="1"/>
  <c r="K387" i="3" s="1"/>
  <c r="J388" i="3" a="1"/>
  <c r="J388" i="3" s="1"/>
  <c r="K388" i="3" s="1"/>
  <c r="J389" i="3" a="1"/>
  <c r="J389" i="3" s="1"/>
  <c r="K389" i="3" s="1"/>
  <c r="J390" i="3" a="1"/>
  <c r="J390" i="3" s="1"/>
  <c r="K390" i="3" s="1"/>
  <c r="J391" i="3" a="1"/>
  <c r="J391" i="3" s="1"/>
  <c r="J392" i="3" a="1"/>
  <c r="J392" i="3" s="1"/>
  <c r="K392" i="3" s="1"/>
  <c r="J393" i="3" a="1"/>
  <c r="J393" i="3" s="1"/>
  <c r="J394" i="3" a="1"/>
  <c r="J394" i="3" s="1"/>
  <c r="K394" i="3" s="1"/>
  <c r="J395" i="3" a="1"/>
  <c r="J395" i="3" s="1"/>
  <c r="K395" i="3" s="1"/>
  <c r="J396" i="3" a="1"/>
  <c r="J396" i="3" s="1"/>
  <c r="K396" i="3" s="1"/>
  <c r="J397" i="3" a="1"/>
  <c r="J397" i="3" s="1"/>
  <c r="K397" i="3" s="1"/>
  <c r="J398" i="3" a="1"/>
  <c r="J398" i="3" s="1"/>
  <c r="K398" i="3" s="1"/>
  <c r="J399" i="3" a="1"/>
  <c r="J399" i="3" s="1"/>
  <c r="K399" i="3" s="1"/>
  <c r="J400" i="3" a="1"/>
  <c r="J400" i="3" s="1"/>
  <c r="K400" i="3" s="1"/>
  <c r="J401" i="3" a="1"/>
  <c r="J401" i="3" s="1"/>
  <c r="K401" i="3" s="1"/>
  <c r="J402" i="3" a="1"/>
  <c r="J402" i="3" s="1"/>
  <c r="K402" i="3" s="1"/>
  <c r="J403" i="3" a="1"/>
  <c r="J403" i="3" s="1"/>
  <c r="K403" i="3" s="1"/>
  <c r="J404" i="3" a="1"/>
  <c r="J404" i="3" s="1"/>
  <c r="K404" i="3" s="1"/>
  <c r="J405" i="3" a="1"/>
  <c r="J405" i="3" s="1"/>
  <c r="K405" i="3" s="1"/>
  <c r="J406" i="3" a="1"/>
  <c r="J406" i="3" s="1"/>
  <c r="K406" i="3" s="1"/>
  <c r="J407" i="3" a="1"/>
  <c r="J407" i="3" s="1"/>
  <c r="K407" i="3" s="1"/>
  <c r="J408" i="3" a="1"/>
  <c r="J408" i="3" s="1"/>
  <c r="K408" i="3" s="1"/>
  <c r="J409" i="3" a="1"/>
  <c r="J409" i="3" s="1"/>
  <c r="K409" i="3" s="1"/>
  <c r="J410" i="3" a="1"/>
  <c r="J410" i="3" s="1"/>
  <c r="K410" i="3" s="1"/>
  <c r="J411" i="3" a="1"/>
  <c r="J411" i="3" s="1"/>
  <c r="K411" i="3" s="1"/>
  <c r="J412" i="3" a="1"/>
  <c r="J412" i="3" s="1"/>
  <c r="K412" i="3" s="1"/>
  <c r="J413" i="3" a="1"/>
  <c r="J413" i="3" s="1"/>
  <c r="K413" i="3" s="1"/>
  <c r="J414" i="3" a="1"/>
  <c r="J414" i="3" s="1"/>
  <c r="K414" i="3" s="1"/>
  <c r="J415" i="3" a="1"/>
  <c r="J415" i="3" s="1"/>
  <c r="K415" i="3" s="1"/>
  <c r="J416" i="3" a="1"/>
  <c r="J416" i="3" s="1"/>
  <c r="K416" i="3" s="1"/>
  <c r="J417" i="3" a="1"/>
  <c r="J417" i="3" s="1"/>
  <c r="K417" i="3" s="1"/>
  <c r="J418" i="3" a="1"/>
  <c r="J418" i="3" s="1"/>
  <c r="K418" i="3" s="1"/>
  <c r="J419" i="3" a="1"/>
  <c r="J419" i="3" s="1"/>
  <c r="K419" i="3" s="1"/>
  <c r="J420" i="3" a="1"/>
  <c r="J420" i="3" s="1"/>
  <c r="K420" i="3" s="1"/>
  <c r="J421" i="3" a="1"/>
  <c r="J421" i="3" s="1"/>
  <c r="K421" i="3" s="1"/>
  <c r="J422" i="3" a="1"/>
  <c r="J422" i="3" s="1"/>
  <c r="K422" i="3" s="1"/>
  <c r="J423" i="3" a="1"/>
  <c r="J423" i="3" s="1"/>
  <c r="K423" i="3" s="1"/>
  <c r="J424" i="3" a="1"/>
  <c r="J424" i="3" s="1"/>
  <c r="K424" i="3" s="1"/>
  <c r="J425" i="3" a="1"/>
  <c r="J425" i="3" s="1"/>
  <c r="K425" i="3" s="1"/>
  <c r="J426" i="3" a="1"/>
  <c r="J426" i="3" s="1"/>
  <c r="J427" i="3" a="1"/>
  <c r="J427" i="3" s="1"/>
  <c r="K427" i="3" s="1"/>
  <c r="J428" i="3" a="1"/>
  <c r="J428" i="3" s="1"/>
  <c r="J429" i="3" a="1"/>
  <c r="J429" i="3" s="1"/>
  <c r="K429" i="3" s="1"/>
  <c r="J430" i="3" a="1"/>
  <c r="J430" i="3" s="1"/>
  <c r="K430" i="3" s="1"/>
  <c r="J431" i="3" a="1"/>
  <c r="J431" i="3" s="1"/>
  <c r="K431" i="3" s="1"/>
  <c r="J432" i="3" a="1"/>
  <c r="J432" i="3" s="1"/>
  <c r="K432" i="3" s="1"/>
  <c r="J433" i="3" a="1"/>
  <c r="J433" i="3" s="1"/>
  <c r="K433" i="3" s="1"/>
  <c r="J434" i="3" a="1"/>
  <c r="J434" i="3" s="1"/>
  <c r="K434" i="3" s="1"/>
  <c r="J435" i="3" a="1"/>
  <c r="J435" i="3" s="1"/>
  <c r="K435" i="3" s="1"/>
  <c r="J436" i="3" a="1"/>
  <c r="J436" i="3" s="1"/>
  <c r="K436" i="3" s="1"/>
  <c r="J437" i="3" a="1"/>
  <c r="J437" i="3" s="1"/>
  <c r="K437" i="3" s="1"/>
  <c r="J438" i="3" a="1"/>
  <c r="J438" i="3" s="1"/>
  <c r="K438" i="3" s="1"/>
  <c r="J439" i="3" a="1"/>
  <c r="J439" i="3" s="1"/>
  <c r="K439" i="3" s="1"/>
  <c r="J440" i="3" a="1"/>
  <c r="J440" i="3" s="1"/>
  <c r="K440" i="3" s="1"/>
  <c r="J441" i="3" a="1"/>
  <c r="J441" i="3" s="1"/>
  <c r="J442" i="3" a="1"/>
  <c r="J442" i="3" s="1"/>
  <c r="K442" i="3" s="1"/>
  <c r="J443" i="3" a="1"/>
  <c r="J443" i="3" s="1"/>
  <c r="K443" i="3" s="1"/>
  <c r="J444" i="3" a="1"/>
  <c r="J444" i="3" s="1"/>
  <c r="J445" i="3" a="1"/>
  <c r="J445" i="3" s="1"/>
  <c r="K445" i="3" s="1"/>
  <c r="J446" i="3" a="1"/>
  <c r="J446" i="3" s="1"/>
  <c r="K446" i="3" s="1"/>
  <c r="J447" i="3" a="1"/>
  <c r="J447" i="3" s="1"/>
  <c r="K447" i="3" s="1"/>
  <c r="J448" i="3" a="1"/>
  <c r="J448" i="3" s="1"/>
  <c r="K448" i="3" s="1"/>
  <c r="J449" i="3" a="1"/>
  <c r="J449" i="3" s="1"/>
  <c r="K449" i="3" s="1"/>
  <c r="J450" i="3" a="1"/>
  <c r="J450" i="3" s="1"/>
  <c r="K450" i="3" s="1"/>
  <c r="J451" i="3" a="1"/>
  <c r="J451" i="3" s="1"/>
  <c r="K451" i="3" s="1"/>
  <c r="J452" i="3" a="1"/>
  <c r="J452" i="3" s="1"/>
  <c r="J453" i="3" a="1"/>
  <c r="J453" i="3" s="1"/>
  <c r="K453" i="3" s="1"/>
  <c r="J454" i="3" a="1"/>
  <c r="J454" i="3" s="1"/>
  <c r="K454" i="3" s="1"/>
  <c r="J455" i="3" a="1"/>
  <c r="J455" i="3" s="1"/>
  <c r="K455" i="3" s="1"/>
  <c r="J456" i="3" a="1"/>
  <c r="J456" i="3" s="1"/>
  <c r="K456" i="3" s="1"/>
  <c r="J457" i="3" a="1"/>
  <c r="J457" i="3" s="1"/>
  <c r="K457" i="3" s="1"/>
  <c r="J458" i="3" a="1"/>
  <c r="J458" i="3" s="1"/>
  <c r="K458" i="3" s="1"/>
  <c r="J459" i="3" a="1"/>
  <c r="J459" i="3" s="1"/>
  <c r="K459" i="3" s="1"/>
  <c r="J460" i="3" a="1"/>
  <c r="J460" i="3" s="1"/>
  <c r="K460" i="3" s="1"/>
  <c r="J461" i="3" a="1"/>
  <c r="J461" i="3" s="1"/>
  <c r="K461" i="3" s="1"/>
  <c r="J462" i="3" a="1"/>
  <c r="J462" i="3" s="1"/>
  <c r="J463" i="3" a="1"/>
  <c r="J463" i="3" s="1"/>
  <c r="K463" i="3" s="1"/>
  <c r="J464" i="3" a="1"/>
  <c r="J464" i="3" s="1"/>
  <c r="K464" i="3" s="1"/>
  <c r="J465" i="3" a="1"/>
  <c r="J465" i="3" s="1"/>
  <c r="K465" i="3" s="1"/>
  <c r="J466" i="3" a="1"/>
  <c r="J466" i="3" s="1"/>
  <c r="K466" i="3" s="1"/>
  <c r="J467" i="3" a="1"/>
  <c r="J467" i="3" s="1"/>
  <c r="K467" i="3" s="1"/>
  <c r="J468" i="3" a="1"/>
  <c r="J468" i="3" s="1"/>
  <c r="K468" i="3" s="1"/>
  <c r="J469" i="3" a="1"/>
  <c r="J469" i="3" s="1"/>
  <c r="K469" i="3" s="1"/>
  <c r="J470" i="3" a="1"/>
  <c r="J470" i="3" s="1"/>
  <c r="K470" i="3" s="1"/>
  <c r="J471" i="3" a="1"/>
  <c r="J471" i="3" s="1"/>
  <c r="K471" i="3" s="1"/>
  <c r="J472" i="3" a="1"/>
  <c r="J472" i="3" s="1"/>
  <c r="K472" i="3" s="1"/>
  <c r="J473" i="3" a="1"/>
  <c r="J473" i="3" s="1"/>
  <c r="K473" i="3" s="1"/>
  <c r="J474" i="3" a="1"/>
  <c r="J474" i="3" s="1"/>
  <c r="K474" i="3" s="1"/>
  <c r="J475" i="3" a="1"/>
  <c r="J475" i="3" s="1"/>
  <c r="K475" i="3" s="1"/>
  <c r="J476" i="3" a="1"/>
  <c r="J476" i="3" s="1"/>
  <c r="K476" i="3" s="1"/>
  <c r="J477" i="3" a="1"/>
  <c r="J477" i="3" s="1"/>
  <c r="K477" i="3" s="1"/>
  <c r="J478" i="3" a="1"/>
  <c r="J478" i="3" s="1"/>
  <c r="K478" i="3" s="1"/>
  <c r="J479" i="3" a="1"/>
  <c r="J479" i="3" s="1"/>
  <c r="K479" i="3" s="1"/>
  <c r="J480" i="3" a="1"/>
  <c r="J480" i="3" s="1"/>
  <c r="K480" i="3" s="1"/>
  <c r="J481" i="3" a="1"/>
  <c r="J481" i="3" s="1"/>
  <c r="K481" i="3" s="1"/>
  <c r="J482" i="3" a="1"/>
  <c r="J482" i="3" s="1"/>
  <c r="K482" i="3" s="1"/>
  <c r="J483" i="3" a="1"/>
  <c r="J483" i="3" s="1"/>
  <c r="K483" i="3" s="1"/>
  <c r="J484" i="3" a="1"/>
  <c r="J484" i="3" s="1"/>
  <c r="K484" i="3" s="1"/>
  <c r="J485" i="3" a="1"/>
  <c r="J485" i="3" s="1"/>
  <c r="K485" i="3" s="1"/>
  <c r="J486" i="3" a="1"/>
  <c r="J486" i="3" s="1"/>
  <c r="K486" i="3" s="1"/>
  <c r="J487" i="3" a="1"/>
  <c r="J487" i="3" s="1"/>
  <c r="K487" i="3" s="1"/>
  <c r="J488" i="3" a="1"/>
  <c r="J488" i="3" s="1"/>
  <c r="K488" i="3" s="1"/>
  <c r="J489" i="3" a="1"/>
  <c r="J489" i="3" s="1"/>
  <c r="K489" i="3" s="1"/>
  <c r="J490" i="3" a="1"/>
  <c r="J490" i="3" s="1"/>
  <c r="K490" i="3" s="1"/>
  <c r="J491" i="3" a="1"/>
  <c r="J491" i="3" s="1"/>
  <c r="K491" i="3" s="1"/>
  <c r="J492" i="3" a="1"/>
  <c r="J492" i="3" s="1"/>
  <c r="K492" i="3" s="1"/>
  <c r="J493" i="3" a="1"/>
  <c r="J493" i="3" s="1"/>
  <c r="K493" i="3" s="1"/>
  <c r="J494" i="3" a="1"/>
  <c r="J494" i="3" s="1"/>
  <c r="K494" i="3" s="1"/>
  <c r="J495" i="3" a="1"/>
  <c r="J495" i="3" s="1"/>
  <c r="K495" i="3" s="1"/>
  <c r="J496" i="3" a="1"/>
  <c r="J496" i="3" s="1"/>
  <c r="K496" i="3" s="1"/>
  <c r="J497" i="3" a="1"/>
  <c r="J497" i="3" s="1"/>
  <c r="K497" i="3" s="1"/>
  <c r="J498" i="3" a="1"/>
  <c r="J498" i="3" s="1"/>
  <c r="K498" i="3" s="1"/>
  <c r="J499" i="3" a="1"/>
  <c r="J499" i="3" s="1"/>
  <c r="K499" i="3" s="1"/>
  <c r="J500" i="3" a="1"/>
  <c r="J500" i="3" s="1"/>
  <c r="K500" i="3" s="1"/>
  <c r="J501" i="3" a="1"/>
  <c r="J501" i="3" s="1"/>
  <c r="K501" i="3" s="1"/>
  <c r="J502" i="3" a="1"/>
  <c r="J502" i="3" s="1"/>
  <c r="K502" i="3" s="1"/>
  <c r="J503" i="3" a="1"/>
  <c r="J503" i="3" s="1"/>
  <c r="K503" i="3" s="1"/>
  <c r="J504" i="3" a="1"/>
  <c r="J504" i="3" s="1"/>
  <c r="K504" i="3" s="1"/>
  <c r="J505" i="3" a="1"/>
  <c r="J505" i="3" s="1"/>
  <c r="K505" i="3" s="1"/>
  <c r="J506" i="3" a="1"/>
  <c r="J506" i="3" s="1"/>
  <c r="K506" i="3" s="1"/>
  <c r="J507" i="3" a="1"/>
  <c r="J507" i="3" s="1"/>
  <c r="K507" i="3" s="1"/>
  <c r="J508" i="3" a="1"/>
  <c r="J508" i="3" s="1"/>
  <c r="K508" i="3" s="1"/>
  <c r="J509" i="3" a="1"/>
  <c r="J509" i="3" s="1"/>
  <c r="K509" i="3" s="1"/>
  <c r="J510" i="3" a="1"/>
  <c r="J510" i="3" s="1"/>
  <c r="K510" i="3" s="1"/>
  <c r="J511" i="3" a="1"/>
  <c r="J511" i="3" s="1"/>
  <c r="K511" i="3" s="1"/>
  <c r="J512" i="3" a="1"/>
  <c r="J512" i="3" s="1"/>
  <c r="K512" i="3" s="1"/>
  <c r="J513" i="3" a="1"/>
  <c r="J513" i="3" s="1"/>
  <c r="K513" i="3" s="1"/>
  <c r="J514" i="3" a="1"/>
  <c r="J514" i="3" s="1"/>
  <c r="K514" i="3" s="1"/>
  <c r="J515" i="3" a="1"/>
  <c r="J515" i="3" s="1"/>
  <c r="K515" i="3" s="1"/>
  <c r="J516" i="3" a="1"/>
  <c r="J516" i="3" s="1"/>
  <c r="K516" i="3" s="1"/>
  <c r="J517" i="3" a="1"/>
  <c r="J517" i="3" s="1"/>
  <c r="K517" i="3" s="1"/>
  <c r="J518" i="3" a="1"/>
  <c r="J518" i="3" s="1"/>
  <c r="K518" i="3" s="1"/>
  <c r="J519" i="3" a="1"/>
  <c r="J519" i="3" s="1"/>
  <c r="K519" i="3" s="1"/>
  <c r="J520" i="3" a="1"/>
  <c r="J520" i="3" s="1"/>
  <c r="K520" i="3" s="1"/>
  <c r="J521" i="3" a="1"/>
  <c r="J521" i="3" s="1"/>
  <c r="K521" i="3" s="1"/>
  <c r="J522" i="3" a="1"/>
  <c r="J522" i="3" s="1"/>
  <c r="K522" i="3" s="1"/>
  <c r="J523" i="3" a="1"/>
  <c r="J523" i="3" s="1"/>
  <c r="K523" i="3" s="1"/>
  <c r="J524" i="3" a="1"/>
  <c r="J524" i="3" s="1"/>
  <c r="K524" i="3" s="1"/>
  <c r="J525" i="3" a="1"/>
  <c r="J525" i="3" s="1"/>
  <c r="K525" i="3" s="1"/>
  <c r="J526" i="3" a="1"/>
  <c r="J526" i="3" s="1"/>
  <c r="K526" i="3" s="1"/>
  <c r="J527" i="3" a="1"/>
  <c r="J527" i="3" s="1"/>
  <c r="K527" i="3" s="1"/>
  <c r="J528" i="3" a="1"/>
  <c r="J528" i="3" s="1"/>
  <c r="K528" i="3" s="1"/>
  <c r="J529" i="3" a="1"/>
  <c r="J529" i="3" s="1"/>
  <c r="K529" i="3" s="1"/>
  <c r="J530" i="3" a="1"/>
  <c r="J530" i="3" s="1"/>
  <c r="K530" i="3" s="1"/>
  <c r="J531" i="3" a="1"/>
  <c r="J531" i="3" s="1"/>
  <c r="K531" i="3" s="1"/>
  <c r="J532" i="3" a="1"/>
  <c r="J532" i="3" s="1"/>
  <c r="K532" i="3" s="1"/>
  <c r="J533" i="3" a="1"/>
  <c r="J533" i="3" s="1"/>
  <c r="K533" i="3" s="1"/>
  <c r="J534" i="3" a="1"/>
  <c r="J534" i="3" s="1"/>
  <c r="K534" i="3" s="1"/>
  <c r="J535" i="3" a="1"/>
  <c r="J535" i="3" s="1"/>
  <c r="K535" i="3" s="1"/>
  <c r="J536" i="3" a="1"/>
  <c r="J536" i="3" s="1"/>
  <c r="K536" i="3" s="1"/>
  <c r="J537" i="3" a="1"/>
  <c r="J537" i="3" s="1"/>
  <c r="K537" i="3" s="1"/>
  <c r="J538" i="3" a="1"/>
  <c r="J538" i="3" s="1"/>
  <c r="K538" i="3" s="1"/>
  <c r="J539" i="3" a="1"/>
  <c r="J539" i="3" s="1"/>
  <c r="K539" i="3" s="1"/>
  <c r="J540" i="3" a="1"/>
  <c r="J540" i="3" s="1"/>
  <c r="K540" i="3" s="1"/>
  <c r="J541" i="3" a="1"/>
  <c r="J541" i="3" s="1"/>
  <c r="K541" i="3" s="1"/>
  <c r="J542" i="3" a="1"/>
  <c r="J542" i="3" s="1"/>
  <c r="K542" i="3" s="1"/>
  <c r="J543" i="3" a="1"/>
  <c r="J543" i="3" s="1"/>
  <c r="K543" i="3" s="1"/>
  <c r="J544" i="3" a="1"/>
  <c r="J544" i="3" s="1"/>
  <c r="K544" i="3" s="1"/>
  <c r="J545" i="3" a="1"/>
  <c r="J545" i="3" s="1"/>
  <c r="K545" i="3" s="1"/>
  <c r="J546" i="3" a="1"/>
  <c r="J546" i="3" s="1"/>
  <c r="K546" i="3" s="1"/>
  <c r="J547" i="3" a="1"/>
  <c r="J547" i="3" s="1"/>
  <c r="K547" i="3" s="1"/>
  <c r="J548" i="3" a="1"/>
  <c r="J548" i="3" s="1"/>
  <c r="K548" i="3" s="1"/>
  <c r="J549" i="3" a="1"/>
  <c r="J549" i="3" s="1"/>
  <c r="K549" i="3" s="1"/>
  <c r="J550" i="3" a="1"/>
  <c r="J550" i="3" s="1"/>
  <c r="K550" i="3" s="1"/>
  <c r="J551" i="3" a="1"/>
  <c r="J551" i="3" s="1"/>
  <c r="K551" i="3" s="1"/>
  <c r="J552" i="3" a="1"/>
  <c r="J552" i="3" s="1"/>
  <c r="K552" i="3" s="1"/>
  <c r="J553" i="3" a="1"/>
  <c r="J553" i="3" s="1"/>
  <c r="K553" i="3" s="1"/>
  <c r="J554" i="3" a="1"/>
  <c r="J554" i="3" s="1"/>
  <c r="K554" i="3" s="1"/>
  <c r="J555" i="3" a="1"/>
  <c r="J555" i="3" s="1"/>
  <c r="K555" i="3" s="1"/>
  <c r="J556" i="3" a="1"/>
  <c r="J556" i="3" s="1"/>
  <c r="J557" i="3" a="1"/>
  <c r="J557" i="3" s="1"/>
  <c r="K557" i="3" s="1"/>
  <c r="J558" i="3" a="1"/>
  <c r="J558" i="3" s="1"/>
  <c r="K558" i="3" s="1"/>
  <c r="J559" i="3" a="1"/>
  <c r="J559" i="3" s="1"/>
  <c r="K559" i="3" s="1"/>
  <c r="J560" i="3" a="1"/>
  <c r="J560" i="3" s="1"/>
  <c r="K560" i="3" s="1"/>
  <c r="J561" i="3" a="1"/>
  <c r="J561" i="3" s="1"/>
  <c r="K561" i="3" s="1"/>
  <c r="J562" i="3" a="1"/>
  <c r="J562" i="3" s="1"/>
  <c r="K562" i="3" s="1"/>
  <c r="J563" i="3" a="1"/>
  <c r="J563" i="3" s="1"/>
  <c r="K563" i="3" s="1"/>
  <c r="J564" i="3" a="1"/>
  <c r="J564" i="3" s="1"/>
  <c r="K564" i="3" s="1"/>
  <c r="J565" i="3" a="1"/>
  <c r="J565" i="3" s="1"/>
  <c r="K565" i="3" s="1"/>
  <c r="J566" i="3" a="1"/>
  <c r="J566" i="3" s="1"/>
  <c r="K566" i="3" s="1"/>
  <c r="J567" i="3" a="1"/>
  <c r="J567" i="3" s="1"/>
  <c r="K567" i="3" s="1"/>
  <c r="J568" i="3" a="1"/>
  <c r="J568" i="3" s="1"/>
  <c r="K568" i="3" s="1"/>
  <c r="J569" i="3" a="1"/>
  <c r="J569" i="3" s="1"/>
  <c r="K569" i="3" s="1"/>
  <c r="J570" i="3" a="1"/>
  <c r="J570" i="3" s="1"/>
  <c r="J571" i="3" a="1"/>
  <c r="J571" i="3" s="1"/>
  <c r="K571" i="3" s="1"/>
  <c r="J572" i="3" a="1"/>
  <c r="J572" i="3" s="1"/>
  <c r="K572" i="3" s="1"/>
  <c r="J573" i="3" a="1"/>
  <c r="J573" i="3" s="1"/>
  <c r="K573" i="3" s="1"/>
  <c r="J574" i="3" a="1"/>
  <c r="J574" i="3" s="1"/>
  <c r="J575" i="3" a="1"/>
  <c r="J575" i="3" s="1"/>
  <c r="K575" i="3" s="1"/>
  <c r="J576" i="3" a="1"/>
  <c r="J576" i="3" s="1"/>
  <c r="K576" i="3" s="1"/>
  <c r="J577" i="3" a="1"/>
  <c r="J577" i="3" s="1"/>
  <c r="K577" i="3" s="1"/>
  <c r="J578" i="3" a="1"/>
  <c r="J578" i="3" s="1"/>
  <c r="K578" i="3" s="1"/>
  <c r="J579" i="3" a="1"/>
  <c r="J579" i="3" s="1"/>
  <c r="K579" i="3" s="1"/>
  <c r="J580" i="3" a="1"/>
  <c r="J580" i="3" s="1"/>
  <c r="K580" i="3" s="1"/>
  <c r="J581" i="3" a="1"/>
  <c r="J581" i="3" s="1"/>
  <c r="K581" i="3" s="1"/>
  <c r="J582" i="3" a="1"/>
  <c r="J582" i="3" s="1"/>
  <c r="K582" i="3" s="1"/>
  <c r="J583" i="3" a="1"/>
  <c r="J583" i="3" s="1"/>
  <c r="K583" i="3" s="1"/>
  <c r="J584" i="3" a="1"/>
  <c r="J584" i="3" s="1"/>
  <c r="K584" i="3" s="1"/>
  <c r="J585" i="3" a="1"/>
  <c r="J585" i="3" s="1"/>
  <c r="K585" i="3" s="1"/>
  <c r="J586" i="3" a="1"/>
  <c r="J586" i="3" s="1"/>
  <c r="K586" i="3" s="1"/>
  <c r="J587" i="3" a="1"/>
  <c r="J587" i="3" s="1"/>
  <c r="K587" i="3" s="1"/>
  <c r="J588" i="3" a="1"/>
  <c r="J588" i="3" s="1"/>
  <c r="K588" i="3" s="1"/>
  <c r="J589" i="3" a="1"/>
  <c r="J589" i="3" s="1"/>
  <c r="K589" i="3" s="1"/>
  <c r="J590" i="3" a="1"/>
  <c r="J590" i="3" s="1"/>
  <c r="K590" i="3" s="1"/>
  <c r="J591" i="3" a="1"/>
  <c r="J591" i="3" s="1"/>
  <c r="K591" i="3" s="1"/>
  <c r="J592" i="3" a="1"/>
  <c r="J592" i="3" s="1"/>
  <c r="K592" i="3" s="1"/>
  <c r="J593" i="3" a="1"/>
  <c r="J593" i="3" s="1"/>
  <c r="K593" i="3" s="1"/>
  <c r="J594" i="3" a="1"/>
  <c r="J594" i="3" s="1"/>
  <c r="K594" i="3" s="1"/>
  <c r="J595" i="3" a="1"/>
  <c r="J595" i="3" s="1"/>
  <c r="K595" i="3" s="1"/>
  <c r="J596" i="3" a="1"/>
  <c r="J596" i="3" s="1"/>
  <c r="K596" i="3" s="1"/>
  <c r="J597" i="3" a="1"/>
  <c r="J597" i="3" s="1"/>
  <c r="K597" i="3" s="1"/>
  <c r="J598" i="3" a="1"/>
  <c r="J598" i="3" s="1"/>
  <c r="K598" i="3" s="1"/>
  <c r="J599" i="3" a="1"/>
  <c r="J599" i="3" s="1"/>
  <c r="K599" i="3" s="1"/>
  <c r="J600" i="3" a="1"/>
  <c r="J600" i="3" s="1"/>
  <c r="K600" i="3" s="1"/>
  <c r="J601" i="3" a="1"/>
  <c r="J601" i="3" s="1"/>
  <c r="K601" i="3" s="1"/>
  <c r="J602" i="3" a="1"/>
  <c r="J602" i="3" s="1"/>
  <c r="K602" i="3" s="1"/>
  <c r="J603" i="3" a="1"/>
  <c r="J603" i="3" s="1"/>
  <c r="K603" i="3" s="1"/>
  <c r="J604" i="3" a="1"/>
  <c r="J604" i="3" s="1"/>
  <c r="K604" i="3" s="1"/>
  <c r="J605" i="3" a="1"/>
  <c r="J605" i="3" s="1"/>
  <c r="K605" i="3" s="1"/>
  <c r="J606" i="3" a="1"/>
  <c r="J606" i="3" s="1"/>
  <c r="K606" i="3" s="1"/>
  <c r="J607" i="3" a="1"/>
  <c r="J607" i="3" s="1"/>
  <c r="K607" i="3" s="1"/>
  <c r="J608" i="3" a="1"/>
  <c r="J608" i="3" s="1"/>
  <c r="K608" i="3" s="1"/>
  <c r="J609" i="3" a="1"/>
  <c r="J609" i="3" s="1"/>
  <c r="K609" i="3" s="1"/>
  <c r="J610" i="3" a="1"/>
  <c r="J610" i="3" s="1"/>
  <c r="K610" i="3" s="1"/>
  <c r="J611" i="3" a="1"/>
  <c r="J611" i="3" s="1"/>
  <c r="K611" i="3" s="1"/>
  <c r="J612" i="3" a="1"/>
  <c r="J612" i="3" s="1"/>
  <c r="K612" i="3" s="1"/>
  <c r="J613" i="3" a="1"/>
  <c r="J613" i="3" s="1"/>
  <c r="K613" i="3" s="1"/>
  <c r="J614" i="3" a="1"/>
  <c r="J614" i="3" s="1"/>
  <c r="K614" i="3" s="1"/>
  <c r="J615" i="3" a="1"/>
  <c r="J615" i="3" s="1"/>
  <c r="K615" i="3" s="1"/>
  <c r="J616" i="3" a="1"/>
  <c r="J616" i="3" s="1"/>
  <c r="K616" i="3" s="1"/>
  <c r="J617" i="3" a="1"/>
  <c r="J617" i="3" s="1"/>
  <c r="K617" i="3" s="1"/>
  <c r="K9" i="3"/>
  <c r="K11" i="3"/>
  <c r="K23" i="3"/>
  <c r="K25" i="3"/>
  <c r="K27" i="3"/>
  <c r="K43" i="3"/>
  <c r="K45" i="3"/>
  <c r="K46" i="3"/>
  <c r="K59" i="3"/>
  <c r="K62" i="3"/>
  <c r="K75" i="3"/>
  <c r="K78" i="3"/>
  <c r="K89" i="3"/>
  <c r="K91" i="3"/>
  <c r="K94" i="3"/>
  <c r="K100" i="3"/>
  <c r="K102" i="3"/>
  <c r="K107" i="3"/>
  <c r="K109" i="3"/>
  <c r="K110" i="3"/>
  <c r="K116" i="3"/>
  <c r="K118" i="3"/>
  <c r="K120" i="3"/>
  <c r="K121" i="3"/>
  <c r="K122" i="3"/>
  <c r="K123" i="3"/>
  <c r="K124" i="3"/>
  <c r="K126" i="3"/>
  <c r="K137" i="3"/>
  <c r="K138" i="3"/>
  <c r="K139" i="3"/>
  <c r="K140" i="3"/>
  <c r="K142" i="3"/>
  <c r="K148" i="3"/>
  <c r="K150" i="3"/>
  <c r="K155" i="3"/>
  <c r="K156" i="3"/>
  <c r="K158" i="3"/>
  <c r="K166" i="3"/>
  <c r="K168" i="3"/>
  <c r="K170" i="3"/>
  <c r="K171" i="3"/>
  <c r="K172" i="3"/>
  <c r="K174" i="3"/>
  <c r="K180" i="3"/>
  <c r="K187" i="3"/>
  <c r="K188" i="3"/>
  <c r="K190" i="3"/>
  <c r="K201" i="3"/>
  <c r="K202" i="3"/>
  <c r="K203" i="3"/>
  <c r="K204" i="3"/>
  <c r="K206" i="3"/>
  <c r="K214" i="3"/>
  <c r="K216" i="3"/>
  <c r="K217" i="3"/>
  <c r="K219" i="3"/>
  <c r="K220" i="3"/>
  <c r="K222" i="3"/>
  <c r="K230" i="3"/>
  <c r="K235" i="3"/>
  <c r="K236" i="3"/>
  <c r="K244" i="3"/>
  <c r="K248" i="3"/>
  <c r="K249" i="3"/>
  <c r="K250" i="3"/>
  <c r="K251" i="3"/>
  <c r="K252" i="3"/>
  <c r="K260" i="3"/>
  <c r="K262" i="3"/>
  <c r="K265" i="3"/>
  <c r="K268" i="3"/>
  <c r="K269" i="3"/>
  <c r="K270" i="3"/>
  <c r="K278" i="3"/>
  <c r="K280" i="3"/>
  <c r="K284" i="3"/>
  <c r="K285" i="3"/>
  <c r="K286" i="3"/>
  <c r="K292" i="3"/>
  <c r="K294" i="3"/>
  <c r="K296" i="3"/>
  <c r="K300" i="3"/>
  <c r="K302" i="3"/>
  <c r="K308" i="3"/>
  <c r="K313" i="3"/>
  <c r="K316" i="3"/>
  <c r="K318" i="3"/>
  <c r="K326" i="3"/>
  <c r="K330" i="3"/>
  <c r="K334" i="3"/>
  <c r="K338" i="3"/>
  <c r="K344" i="3"/>
  <c r="K346" i="3"/>
  <c r="K347" i="3"/>
  <c r="K364" i="3"/>
  <c r="K366" i="3"/>
  <c r="K372" i="3"/>
  <c r="K382" i="3"/>
  <c r="K391" i="3"/>
  <c r="K393" i="3"/>
  <c r="K426" i="3"/>
  <c r="K428" i="3"/>
  <c r="K441" i="3"/>
  <c r="K444" i="3"/>
  <c r="K452" i="3"/>
  <c r="K462" i="3"/>
  <c r="K556" i="3"/>
  <c r="K570" i="3"/>
  <c r="K574" i="3"/>
  <c r="B3" i="3"/>
  <c r="G3" i="3" s="1" a="1"/>
  <c r="G3" i="3" s="1"/>
  <c r="B4" i="3"/>
  <c r="G4" i="3" s="1" a="1"/>
  <c r="G4" i="3" s="1"/>
  <c r="B5" i="3"/>
  <c r="G5" i="3" s="1" a="1"/>
  <c r="G5" i="3" s="1"/>
  <c r="B6" i="3"/>
  <c r="G6" i="3" s="1" a="1"/>
  <c r="G6" i="3" s="1"/>
  <c r="B7" i="3"/>
  <c r="G7" i="3" s="1" a="1"/>
  <c r="G7" i="3" s="1"/>
  <c r="B8" i="3"/>
  <c r="G8" i="3" s="1" a="1"/>
  <c r="G8" i="3" s="1"/>
  <c r="B9" i="3"/>
  <c r="G9" i="3" s="1" a="1"/>
  <c r="G9" i="3" s="1"/>
  <c r="B10" i="3"/>
  <c r="G10" i="3" s="1" a="1"/>
  <c r="G10" i="3" s="1"/>
  <c r="B11" i="3"/>
  <c r="G11" i="3" s="1" a="1"/>
  <c r="G11" i="3" s="1"/>
  <c r="B12" i="3"/>
  <c r="G12" i="3" s="1" a="1"/>
  <c r="G12" i="3" s="1"/>
  <c r="B13" i="3"/>
  <c r="G13" i="3" s="1" a="1"/>
  <c r="G13" i="3" s="1"/>
  <c r="B14" i="3"/>
  <c r="G14" i="3" s="1" a="1"/>
  <c r="G14" i="3" s="1"/>
  <c r="B15" i="3"/>
  <c r="G15" i="3" s="1" a="1"/>
  <c r="G15" i="3" s="1"/>
  <c r="B16" i="3"/>
  <c r="G16" i="3" s="1" a="1"/>
  <c r="G16" i="3" s="1"/>
  <c r="B17" i="3"/>
  <c r="G17" i="3" s="1" a="1"/>
  <c r="G17" i="3" s="1"/>
  <c r="B18" i="3"/>
  <c r="G18" i="3" s="1" a="1"/>
  <c r="G18" i="3" s="1"/>
  <c r="B19" i="3"/>
  <c r="G19" i="3" s="1" a="1"/>
  <c r="G19" i="3" s="1"/>
  <c r="B20" i="3"/>
  <c r="G20" i="3" s="1" a="1"/>
  <c r="G20" i="3" s="1"/>
  <c r="B21" i="3"/>
  <c r="G21" i="3" s="1" a="1"/>
  <c r="G21" i="3" s="1"/>
  <c r="B22" i="3"/>
  <c r="G22" i="3" s="1" a="1"/>
  <c r="G22" i="3" s="1"/>
  <c r="B23" i="3"/>
  <c r="G23" i="3" s="1" a="1"/>
  <c r="G23" i="3" s="1"/>
  <c r="B24" i="3"/>
  <c r="G24" i="3" s="1" a="1"/>
  <c r="G24" i="3" s="1"/>
  <c r="B25" i="3"/>
  <c r="G25" i="3" s="1" a="1"/>
  <c r="G25" i="3" s="1"/>
  <c r="B26" i="3"/>
  <c r="G26" i="3" s="1" a="1"/>
  <c r="G26" i="3" s="1"/>
  <c r="B27" i="3"/>
  <c r="G27" i="3" s="1" a="1"/>
  <c r="G27" i="3" s="1"/>
  <c r="B28" i="3"/>
  <c r="G28" i="3" s="1" a="1"/>
  <c r="G28" i="3" s="1"/>
  <c r="B29" i="3"/>
  <c r="G29" i="3" s="1" a="1"/>
  <c r="G29" i="3" s="1"/>
  <c r="B30" i="3"/>
  <c r="G30" i="3" s="1" a="1"/>
  <c r="G30" i="3" s="1"/>
  <c r="B31" i="3"/>
  <c r="G31" i="3" s="1" a="1"/>
  <c r="G31" i="3" s="1"/>
  <c r="B32" i="3"/>
  <c r="G32" i="3" s="1" a="1"/>
  <c r="G32" i="3" s="1"/>
  <c r="B33" i="3"/>
  <c r="G33" i="3" s="1" a="1"/>
  <c r="G33" i="3" s="1"/>
  <c r="B34" i="3"/>
  <c r="G34" i="3" s="1" a="1"/>
  <c r="G34" i="3" s="1"/>
  <c r="B35" i="3"/>
  <c r="G35" i="3" s="1" a="1"/>
  <c r="G35" i="3" s="1"/>
  <c r="B36" i="3"/>
  <c r="G36" i="3" s="1" a="1"/>
  <c r="G36" i="3" s="1"/>
  <c r="B37" i="3"/>
  <c r="G37" i="3" s="1" a="1"/>
  <c r="G37" i="3" s="1"/>
  <c r="B38" i="3"/>
  <c r="G38" i="3" s="1" a="1"/>
  <c r="G38" i="3" s="1"/>
  <c r="B39" i="3"/>
  <c r="G39" i="3" s="1" a="1"/>
  <c r="G39" i="3" s="1"/>
  <c r="B40" i="3"/>
  <c r="G40" i="3" s="1" a="1"/>
  <c r="G40" i="3" s="1"/>
  <c r="B41" i="3"/>
  <c r="G41" i="3" s="1" a="1"/>
  <c r="G41" i="3" s="1"/>
  <c r="B42" i="3"/>
  <c r="G42" i="3" s="1" a="1"/>
  <c r="G42" i="3" s="1"/>
  <c r="B43" i="3"/>
  <c r="G43" i="3" s="1" a="1"/>
  <c r="G43" i="3" s="1"/>
  <c r="B44" i="3"/>
  <c r="G44" i="3" s="1" a="1"/>
  <c r="G44" i="3" s="1"/>
  <c r="B45" i="3"/>
  <c r="G45" i="3" s="1" a="1"/>
  <c r="G45" i="3" s="1"/>
  <c r="B46" i="3"/>
  <c r="G46" i="3" s="1" a="1"/>
  <c r="G46" i="3" s="1"/>
  <c r="B47" i="3"/>
  <c r="G47" i="3" s="1" a="1"/>
  <c r="G47" i="3" s="1"/>
  <c r="B48" i="3"/>
  <c r="G48" i="3" s="1" a="1"/>
  <c r="G48" i="3" s="1"/>
  <c r="B49" i="3"/>
  <c r="G49" i="3" s="1" a="1"/>
  <c r="G49" i="3" s="1"/>
  <c r="B50" i="3"/>
  <c r="G50" i="3" s="1" a="1"/>
  <c r="G50" i="3" s="1"/>
  <c r="B51" i="3"/>
  <c r="G51" i="3" s="1" a="1"/>
  <c r="G51" i="3" s="1"/>
  <c r="B52" i="3"/>
  <c r="G52" i="3" s="1" a="1"/>
  <c r="G52" i="3" s="1"/>
  <c r="B53" i="3"/>
  <c r="G53" i="3" s="1" a="1"/>
  <c r="G53" i="3" s="1"/>
  <c r="B54" i="3"/>
  <c r="G54" i="3" s="1" a="1"/>
  <c r="G54" i="3" s="1"/>
  <c r="B55" i="3"/>
  <c r="G55" i="3" s="1" a="1"/>
  <c r="G55" i="3" s="1"/>
  <c r="B56" i="3"/>
  <c r="G56" i="3" s="1" a="1"/>
  <c r="G56" i="3" s="1"/>
  <c r="B57" i="3"/>
  <c r="G57" i="3" s="1" a="1"/>
  <c r="G57" i="3" s="1"/>
  <c r="B58" i="3"/>
  <c r="G58" i="3" s="1" a="1"/>
  <c r="G58" i="3" s="1"/>
  <c r="B59" i="3"/>
  <c r="G59" i="3" s="1" a="1"/>
  <c r="G59" i="3" s="1"/>
  <c r="B60" i="3"/>
  <c r="G60" i="3" s="1" a="1"/>
  <c r="G60" i="3" s="1"/>
  <c r="B61" i="3"/>
  <c r="G61" i="3" s="1" a="1"/>
  <c r="G61" i="3" s="1"/>
  <c r="B62" i="3"/>
  <c r="G62" i="3" s="1" a="1"/>
  <c r="G62" i="3" s="1"/>
  <c r="B63" i="3"/>
  <c r="G63" i="3" s="1" a="1"/>
  <c r="G63" i="3" s="1"/>
  <c r="B64" i="3"/>
  <c r="G64" i="3" s="1" a="1"/>
  <c r="G64" i="3" s="1"/>
  <c r="B65" i="3"/>
  <c r="G65" i="3" s="1" a="1"/>
  <c r="G65" i="3" s="1"/>
  <c r="B66" i="3"/>
  <c r="G66" i="3" s="1" a="1"/>
  <c r="G66" i="3" s="1"/>
  <c r="B67" i="3"/>
  <c r="G67" i="3" s="1" a="1"/>
  <c r="G67" i="3" s="1"/>
  <c r="B68" i="3"/>
  <c r="G68" i="3" s="1" a="1"/>
  <c r="G68" i="3" s="1"/>
  <c r="B69" i="3"/>
  <c r="G69" i="3" s="1" a="1"/>
  <c r="G69" i="3" s="1"/>
  <c r="B70" i="3"/>
  <c r="G70" i="3" s="1" a="1"/>
  <c r="G70" i="3" s="1"/>
  <c r="B71" i="3"/>
  <c r="G71" i="3" s="1" a="1"/>
  <c r="G71" i="3" s="1"/>
  <c r="B72" i="3"/>
  <c r="G72" i="3" s="1" a="1"/>
  <c r="G72" i="3" s="1"/>
  <c r="B73" i="3"/>
  <c r="G73" i="3" s="1" a="1"/>
  <c r="G73" i="3" s="1"/>
  <c r="B74" i="3"/>
  <c r="G74" i="3" s="1" a="1"/>
  <c r="G74" i="3" s="1"/>
  <c r="B75" i="3"/>
  <c r="G75" i="3" s="1" a="1"/>
  <c r="G75" i="3" s="1"/>
  <c r="B76" i="3"/>
  <c r="G76" i="3" s="1" a="1"/>
  <c r="G76" i="3" s="1"/>
  <c r="B77" i="3"/>
  <c r="G77" i="3" s="1" a="1"/>
  <c r="G77" i="3" s="1"/>
  <c r="B78" i="3"/>
  <c r="G78" i="3" s="1" a="1"/>
  <c r="G78" i="3" s="1"/>
  <c r="B79" i="3"/>
  <c r="G79" i="3" s="1" a="1"/>
  <c r="G79" i="3" s="1"/>
  <c r="B80" i="3"/>
  <c r="G80" i="3" s="1" a="1"/>
  <c r="G80" i="3" s="1"/>
  <c r="B81" i="3"/>
  <c r="G81" i="3" s="1" a="1"/>
  <c r="G81" i="3" s="1"/>
  <c r="B82" i="3"/>
  <c r="G82" i="3" s="1" a="1"/>
  <c r="G82" i="3" s="1"/>
  <c r="B83" i="3"/>
  <c r="G83" i="3" s="1" a="1"/>
  <c r="G83" i="3" s="1"/>
  <c r="B84" i="3"/>
  <c r="G84" i="3" s="1" a="1"/>
  <c r="G84" i="3" s="1"/>
  <c r="B85" i="3"/>
  <c r="G85" i="3" s="1" a="1"/>
  <c r="G85" i="3" s="1"/>
  <c r="B86" i="3"/>
  <c r="G86" i="3" s="1" a="1"/>
  <c r="G86" i="3" s="1"/>
  <c r="B87" i="3"/>
  <c r="G87" i="3" s="1" a="1"/>
  <c r="G87" i="3" s="1"/>
  <c r="B88" i="3"/>
  <c r="G88" i="3" s="1" a="1"/>
  <c r="G88" i="3" s="1"/>
  <c r="B89" i="3"/>
  <c r="G89" i="3" s="1" a="1"/>
  <c r="G89" i="3" s="1"/>
  <c r="B90" i="3"/>
  <c r="G90" i="3" s="1" a="1"/>
  <c r="G90" i="3" s="1"/>
  <c r="B91" i="3"/>
  <c r="G91" i="3" s="1" a="1"/>
  <c r="G91" i="3" s="1"/>
  <c r="B92" i="3"/>
  <c r="G92" i="3" s="1" a="1"/>
  <c r="G92" i="3" s="1"/>
  <c r="B93" i="3"/>
  <c r="G93" i="3" s="1" a="1"/>
  <c r="G93" i="3" s="1"/>
  <c r="B94" i="3"/>
  <c r="G94" i="3" s="1" a="1"/>
  <c r="G94" i="3" s="1"/>
  <c r="B95" i="3"/>
  <c r="G95" i="3" s="1" a="1"/>
  <c r="G95" i="3" s="1"/>
  <c r="B96" i="3"/>
  <c r="G96" i="3" s="1" a="1"/>
  <c r="G96" i="3" s="1"/>
  <c r="B97" i="3"/>
  <c r="G97" i="3" s="1" a="1"/>
  <c r="G97" i="3" s="1"/>
  <c r="B98" i="3"/>
  <c r="G98" i="3" s="1" a="1"/>
  <c r="G98" i="3" s="1"/>
  <c r="B99" i="3"/>
  <c r="G99" i="3" s="1" a="1"/>
  <c r="G99" i="3" s="1"/>
  <c r="B100" i="3"/>
  <c r="G100" i="3" s="1" a="1"/>
  <c r="G100" i="3" s="1"/>
  <c r="B101" i="3"/>
  <c r="G101" i="3" s="1" a="1"/>
  <c r="G101" i="3" s="1"/>
  <c r="B102" i="3"/>
  <c r="G102" i="3" s="1" a="1"/>
  <c r="G102" i="3" s="1"/>
  <c r="B103" i="3"/>
  <c r="G103" i="3" s="1" a="1"/>
  <c r="G103" i="3" s="1"/>
  <c r="B104" i="3"/>
  <c r="G104" i="3" s="1" a="1"/>
  <c r="G104" i="3" s="1"/>
  <c r="B105" i="3"/>
  <c r="G105" i="3" s="1" a="1"/>
  <c r="G105" i="3" s="1"/>
  <c r="B106" i="3"/>
  <c r="G106" i="3" s="1" a="1"/>
  <c r="G106" i="3" s="1"/>
  <c r="B107" i="3"/>
  <c r="G107" i="3" s="1" a="1"/>
  <c r="G107" i="3" s="1"/>
  <c r="B108" i="3"/>
  <c r="G108" i="3" s="1" a="1"/>
  <c r="G108" i="3" s="1"/>
  <c r="B109" i="3"/>
  <c r="G109" i="3" s="1" a="1"/>
  <c r="G109" i="3" s="1"/>
  <c r="B110" i="3"/>
  <c r="G110" i="3" s="1" a="1"/>
  <c r="G110" i="3" s="1"/>
  <c r="B111" i="3"/>
  <c r="G111" i="3" s="1" a="1"/>
  <c r="G111" i="3" s="1"/>
  <c r="B112" i="3"/>
  <c r="G112" i="3" s="1" a="1"/>
  <c r="G112" i="3" s="1"/>
  <c r="B113" i="3"/>
  <c r="G113" i="3" s="1" a="1"/>
  <c r="G113" i="3" s="1"/>
  <c r="B114" i="3"/>
  <c r="G114" i="3" s="1" a="1"/>
  <c r="G114" i="3" s="1"/>
  <c r="B115" i="3"/>
  <c r="G115" i="3" s="1" a="1"/>
  <c r="G115" i="3" s="1"/>
  <c r="B116" i="3"/>
  <c r="G116" i="3" s="1" a="1"/>
  <c r="G116" i="3" s="1"/>
  <c r="B117" i="3"/>
  <c r="G117" i="3" s="1" a="1"/>
  <c r="G117" i="3" s="1"/>
  <c r="B118" i="3"/>
  <c r="G118" i="3" s="1" a="1"/>
  <c r="G118" i="3" s="1"/>
  <c r="B119" i="3"/>
  <c r="G119" i="3" s="1" a="1"/>
  <c r="G119" i="3" s="1"/>
  <c r="B120" i="3"/>
  <c r="G120" i="3" s="1" a="1"/>
  <c r="G120" i="3" s="1"/>
  <c r="B121" i="3"/>
  <c r="G121" i="3" s="1" a="1"/>
  <c r="G121" i="3" s="1"/>
  <c r="B122" i="3"/>
  <c r="G122" i="3" s="1" a="1"/>
  <c r="G122" i="3" s="1"/>
  <c r="B123" i="3"/>
  <c r="G123" i="3" s="1" a="1"/>
  <c r="G123" i="3" s="1"/>
  <c r="B124" i="3"/>
  <c r="G124" i="3" s="1" a="1"/>
  <c r="G124" i="3" s="1"/>
  <c r="B125" i="3"/>
  <c r="G125" i="3" s="1" a="1"/>
  <c r="G125" i="3" s="1"/>
  <c r="B126" i="3"/>
  <c r="G126" i="3" s="1" a="1"/>
  <c r="G126" i="3" s="1"/>
  <c r="B127" i="3"/>
  <c r="G127" i="3" s="1" a="1"/>
  <c r="G127" i="3" s="1"/>
  <c r="B128" i="3"/>
  <c r="G128" i="3" s="1" a="1"/>
  <c r="G128" i="3" s="1"/>
  <c r="B129" i="3"/>
  <c r="G129" i="3" s="1" a="1"/>
  <c r="G129" i="3" s="1"/>
  <c r="B130" i="3"/>
  <c r="G130" i="3" s="1" a="1"/>
  <c r="G130" i="3" s="1"/>
  <c r="B131" i="3"/>
  <c r="G131" i="3" s="1" a="1"/>
  <c r="G131" i="3" s="1"/>
  <c r="B132" i="3"/>
  <c r="G132" i="3" s="1" a="1"/>
  <c r="G132" i="3" s="1"/>
  <c r="B133" i="3"/>
  <c r="G133" i="3" s="1" a="1"/>
  <c r="G133" i="3" s="1"/>
  <c r="B134" i="3"/>
  <c r="G134" i="3" s="1" a="1"/>
  <c r="G134" i="3" s="1"/>
  <c r="B135" i="3"/>
  <c r="G135" i="3" s="1" a="1"/>
  <c r="G135" i="3" s="1"/>
  <c r="B136" i="3"/>
  <c r="G136" i="3" s="1" a="1"/>
  <c r="G136" i="3" s="1"/>
  <c r="B137" i="3"/>
  <c r="G137" i="3" s="1" a="1"/>
  <c r="G137" i="3" s="1"/>
  <c r="B138" i="3"/>
  <c r="G138" i="3" s="1" a="1"/>
  <c r="G138" i="3" s="1"/>
  <c r="B139" i="3"/>
  <c r="G139" i="3" s="1" a="1"/>
  <c r="G139" i="3" s="1"/>
  <c r="B140" i="3"/>
  <c r="G140" i="3" s="1" a="1"/>
  <c r="G140" i="3" s="1"/>
  <c r="B141" i="3"/>
  <c r="G141" i="3" s="1" a="1"/>
  <c r="G141" i="3" s="1"/>
  <c r="B142" i="3"/>
  <c r="G142" i="3" s="1" a="1"/>
  <c r="G142" i="3" s="1"/>
  <c r="B143" i="3"/>
  <c r="G143" i="3" s="1" a="1"/>
  <c r="G143" i="3" s="1"/>
  <c r="B144" i="3"/>
  <c r="G144" i="3" s="1" a="1"/>
  <c r="G144" i="3" s="1"/>
  <c r="B145" i="3"/>
  <c r="G145" i="3" s="1" a="1"/>
  <c r="G145" i="3" s="1"/>
  <c r="B146" i="3"/>
  <c r="G146" i="3" s="1" a="1"/>
  <c r="G146" i="3" s="1"/>
  <c r="B147" i="3"/>
  <c r="G147" i="3" s="1" a="1"/>
  <c r="G147" i="3" s="1"/>
  <c r="B148" i="3"/>
  <c r="G148" i="3" s="1" a="1"/>
  <c r="G148" i="3" s="1"/>
  <c r="B149" i="3"/>
  <c r="G149" i="3" s="1" a="1"/>
  <c r="G149" i="3" s="1"/>
  <c r="B150" i="3"/>
  <c r="G150" i="3" s="1" a="1"/>
  <c r="G150" i="3" s="1"/>
  <c r="B151" i="3"/>
  <c r="G151" i="3" s="1" a="1"/>
  <c r="G151" i="3" s="1"/>
  <c r="B152" i="3"/>
  <c r="G152" i="3" s="1" a="1"/>
  <c r="G152" i="3" s="1"/>
  <c r="B153" i="3"/>
  <c r="G153" i="3" s="1" a="1"/>
  <c r="G153" i="3" s="1"/>
  <c r="B154" i="3"/>
  <c r="G154" i="3" s="1" a="1"/>
  <c r="G154" i="3" s="1"/>
  <c r="B155" i="3"/>
  <c r="G155" i="3" s="1" a="1"/>
  <c r="G155" i="3" s="1"/>
  <c r="B156" i="3"/>
  <c r="G156" i="3" s="1" a="1"/>
  <c r="G156" i="3" s="1"/>
  <c r="B157" i="3"/>
  <c r="G157" i="3" s="1" a="1"/>
  <c r="G157" i="3" s="1"/>
  <c r="B158" i="3"/>
  <c r="G158" i="3" s="1" a="1"/>
  <c r="G158" i="3" s="1"/>
  <c r="B159" i="3"/>
  <c r="G159" i="3" s="1" a="1"/>
  <c r="G159" i="3" s="1"/>
  <c r="B160" i="3"/>
  <c r="G160" i="3" s="1" a="1"/>
  <c r="G160" i="3" s="1"/>
  <c r="B161" i="3"/>
  <c r="G161" i="3" s="1" a="1"/>
  <c r="G161" i="3" s="1"/>
  <c r="B162" i="3"/>
  <c r="G162" i="3" s="1" a="1"/>
  <c r="G162" i="3" s="1"/>
  <c r="B163" i="3"/>
  <c r="G163" i="3" s="1" a="1"/>
  <c r="G163" i="3" s="1"/>
  <c r="B164" i="3"/>
  <c r="G164" i="3" s="1" a="1"/>
  <c r="G164" i="3" s="1"/>
  <c r="B165" i="3"/>
  <c r="G165" i="3" s="1" a="1"/>
  <c r="G165" i="3" s="1"/>
  <c r="B166" i="3"/>
  <c r="G166" i="3" s="1" a="1"/>
  <c r="G166" i="3" s="1"/>
  <c r="B167" i="3"/>
  <c r="G167" i="3" s="1" a="1"/>
  <c r="G167" i="3" s="1"/>
  <c r="B168" i="3"/>
  <c r="G168" i="3" s="1" a="1"/>
  <c r="G168" i="3" s="1"/>
  <c r="B169" i="3"/>
  <c r="G169" i="3" s="1" a="1"/>
  <c r="G169" i="3" s="1"/>
  <c r="B170" i="3"/>
  <c r="G170" i="3" s="1" a="1"/>
  <c r="G170" i="3" s="1"/>
  <c r="B171" i="3"/>
  <c r="G171" i="3" s="1" a="1"/>
  <c r="G171" i="3" s="1"/>
  <c r="B172" i="3"/>
  <c r="G172" i="3" s="1" a="1"/>
  <c r="G172" i="3" s="1"/>
  <c r="B173" i="3"/>
  <c r="G173" i="3" s="1" a="1"/>
  <c r="G173" i="3" s="1"/>
  <c r="B174" i="3"/>
  <c r="G174" i="3" s="1" a="1"/>
  <c r="G174" i="3" s="1"/>
  <c r="B175" i="3"/>
  <c r="G175" i="3" s="1" a="1"/>
  <c r="G175" i="3" s="1"/>
  <c r="B176" i="3"/>
  <c r="G176" i="3" s="1" a="1"/>
  <c r="G176" i="3" s="1"/>
  <c r="B177" i="3"/>
  <c r="G177" i="3" s="1" a="1"/>
  <c r="G177" i="3" s="1"/>
  <c r="B178" i="3"/>
  <c r="G178" i="3" s="1" a="1"/>
  <c r="G178" i="3" s="1"/>
  <c r="B179" i="3"/>
  <c r="G179" i="3" s="1" a="1"/>
  <c r="G179" i="3" s="1"/>
  <c r="B180" i="3"/>
  <c r="G180" i="3" s="1" a="1"/>
  <c r="G180" i="3" s="1"/>
  <c r="B181" i="3"/>
  <c r="G181" i="3" s="1" a="1"/>
  <c r="G181" i="3" s="1"/>
  <c r="B182" i="3"/>
  <c r="G182" i="3" s="1" a="1"/>
  <c r="G182" i="3" s="1"/>
  <c r="B183" i="3"/>
  <c r="G183" i="3" s="1" a="1"/>
  <c r="G183" i="3" s="1"/>
  <c r="B184" i="3"/>
  <c r="G184" i="3" s="1" a="1"/>
  <c r="G184" i="3" s="1"/>
  <c r="B185" i="3"/>
  <c r="G185" i="3" s="1" a="1"/>
  <c r="G185" i="3" s="1"/>
  <c r="B186" i="3"/>
  <c r="G186" i="3" s="1" a="1"/>
  <c r="G186" i="3" s="1"/>
  <c r="B187" i="3"/>
  <c r="G187" i="3" s="1" a="1"/>
  <c r="G187" i="3" s="1"/>
  <c r="B188" i="3"/>
  <c r="G188" i="3" s="1" a="1"/>
  <c r="G188" i="3" s="1"/>
  <c r="B189" i="3"/>
  <c r="G189" i="3" s="1" a="1"/>
  <c r="G189" i="3" s="1"/>
  <c r="B190" i="3"/>
  <c r="G190" i="3" s="1" a="1"/>
  <c r="G190" i="3" s="1"/>
  <c r="B191" i="3"/>
  <c r="G191" i="3" s="1" a="1"/>
  <c r="G191" i="3" s="1"/>
  <c r="B192" i="3"/>
  <c r="G192" i="3" s="1" a="1"/>
  <c r="G192" i="3" s="1"/>
  <c r="B193" i="3"/>
  <c r="G193" i="3" s="1" a="1"/>
  <c r="G193" i="3" s="1"/>
  <c r="B194" i="3"/>
  <c r="G194" i="3" s="1" a="1"/>
  <c r="G194" i="3" s="1"/>
  <c r="B195" i="3"/>
  <c r="G195" i="3" s="1" a="1"/>
  <c r="G195" i="3" s="1"/>
  <c r="B196" i="3"/>
  <c r="G196" i="3" s="1" a="1"/>
  <c r="G196" i="3" s="1"/>
  <c r="B197" i="3"/>
  <c r="G197" i="3" s="1" a="1"/>
  <c r="G197" i="3" s="1"/>
  <c r="B198" i="3"/>
  <c r="G198" i="3" s="1" a="1"/>
  <c r="G198" i="3" s="1"/>
  <c r="B199" i="3"/>
  <c r="G199" i="3" s="1" a="1"/>
  <c r="G199" i="3" s="1"/>
  <c r="B200" i="3"/>
  <c r="G200" i="3" s="1" a="1"/>
  <c r="G200" i="3" s="1"/>
  <c r="B201" i="3"/>
  <c r="G201" i="3" s="1" a="1"/>
  <c r="G201" i="3" s="1"/>
  <c r="B202" i="3"/>
  <c r="G202" i="3" s="1" a="1"/>
  <c r="G202" i="3" s="1"/>
  <c r="B203" i="3"/>
  <c r="G203" i="3" s="1" a="1"/>
  <c r="G203" i="3" s="1"/>
  <c r="B204" i="3"/>
  <c r="G204" i="3" s="1" a="1"/>
  <c r="G204" i="3" s="1"/>
  <c r="B205" i="3"/>
  <c r="G205" i="3" s="1" a="1"/>
  <c r="G205" i="3" s="1"/>
  <c r="B206" i="3"/>
  <c r="G206" i="3" s="1" a="1"/>
  <c r="G206" i="3" s="1"/>
  <c r="B207" i="3"/>
  <c r="G207" i="3" s="1" a="1"/>
  <c r="G207" i="3" s="1"/>
  <c r="B208" i="3"/>
  <c r="G208" i="3" s="1" a="1"/>
  <c r="G208" i="3" s="1"/>
  <c r="B209" i="3"/>
  <c r="G209" i="3" s="1" a="1"/>
  <c r="G209" i="3" s="1"/>
  <c r="B210" i="3"/>
  <c r="G210" i="3" s="1" a="1"/>
  <c r="G210" i="3" s="1"/>
  <c r="B211" i="3"/>
  <c r="G211" i="3" s="1" a="1"/>
  <c r="G211" i="3" s="1"/>
  <c r="B212" i="3"/>
  <c r="G212" i="3" s="1" a="1"/>
  <c r="G212" i="3" s="1"/>
  <c r="B213" i="3"/>
  <c r="G213" i="3" s="1" a="1"/>
  <c r="G213" i="3" s="1"/>
  <c r="B214" i="3"/>
  <c r="G214" i="3" s="1" a="1"/>
  <c r="G214" i="3" s="1"/>
  <c r="B215" i="3"/>
  <c r="G215" i="3" s="1" a="1"/>
  <c r="G215" i="3" s="1"/>
  <c r="B216" i="3"/>
  <c r="G216" i="3" s="1" a="1"/>
  <c r="G216" i="3" s="1"/>
  <c r="B217" i="3"/>
  <c r="G217" i="3" s="1" a="1"/>
  <c r="G217" i="3" s="1"/>
  <c r="B218" i="3"/>
  <c r="G218" i="3" s="1" a="1"/>
  <c r="G218" i="3" s="1"/>
  <c r="B219" i="3"/>
  <c r="G219" i="3" s="1" a="1"/>
  <c r="G219" i="3" s="1"/>
  <c r="B220" i="3"/>
  <c r="G220" i="3" s="1" a="1"/>
  <c r="G220" i="3" s="1"/>
  <c r="B221" i="3"/>
  <c r="G221" i="3" s="1" a="1"/>
  <c r="G221" i="3" s="1"/>
  <c r="B222" i="3"/>
  <c r="G222" i="3" s="1" a="1"/>
  <c r="G222" i="3" s="1"/>
  <c r="B223" i="3"/>
  <c r="G223" i="3" s="1" a="1"/>
  <c r="G223" i="3" s="1"/>
  <c r="B224" i="3"/>
  <c r="G224" i="3" s="1" a="1"/>
  <c r="G224" i="3" s="1"/>
  <c r="B225" i="3"/>
  <c r="G225" i="3" s="1" a="1"/>
  <c r="G225" i="3" s="1"/>
  <c r="B226" i="3"/>
  <c r="G226" i="3" s="1" a="1"/>
  <c r="G226" i="3" s="1"/>
  <c r="B227" i="3"/>
  <c r="G227" i="3" s="1" a="1"/>
  <c r="G227" i="3" s="1"/>
  <c r="B228" i="3"/>
  <c r="G228" i="3" s="1" a="1"/>
  <c r="G228" i="3" s="1"/>
  <c r="B229" i="3"/>
  <c r="G229" i="3" s="1" a="1"/>
  <c r="G229" i="3" s="1"/>
  <c r="B230" i="3"/>
  <c r="G230" i="3" s="1" a="1"/>
  <c r="G230" i="3" s="1"/>
  <c r="B231" i="3"/>
  <c r="G231" i="3" s="1" a="1"/>
  <c r="G231" i="3" s="1"/>
  <c r="B232" i="3"/>
  <c r="G232" i="3" s="1" a="1"/>
  <c r="G232" i="3" s="1"/>
  <c r="B233" i="3"/>
  <c r="G233" i="3" s="1" a="1"/>
  <c r="G233" i="3" s="1"/>
  <c r="B234" i="3"/>
  <c r="G234" i="3" s="1" a="1"/>
  <c r="G234" i="3" s="1"/>
  <c r="B235" i="3"/>
  <c r="G235" i="3" s="1" a="1"/>
  <c r="G235" i="3" s="1"/>
  <c r="B236" i="3"/>
  <c r="G236" i="3" s="1" a="1"/>
  <c r="G236" i="3" s="1"/>
  <c r="B237" i="3"/>
  <c r="G237" i="3" s="1" a="1"/>
  <c r="G237" i="3" s="1"/>
  <c r="B238" i="3"/>
  <c r="G238" i="3" s="1" a="1"/>
  <c r="G238" i="3" s="1"/>
  <c r="B239" i="3"/>
  <c r="G239" i="3" s="1" a="1"/>
  <c r="G239" i="3" s="1"/>
  <c r="B240" i="3"/>
  <c r="G240" i="3" s="1" a="1"/>
  <c r="G240" i="3" s="1"/>
  <c r="B241" i="3"/>
  <c r="G241" i="3" s="1" a="1"/>
  <c r="G241" i="3" s="1"/>
  <c r="B242" i="3"/>
  <c r="G242" i="3" s="1" a="1"/>
  <c r="G242" i="3" s="1"/>
  <c r="B243" i="3"/>
  <c r="G243" i="3" s="1" a="1"/>
  <c r="G243" i="3" s="1"/>
  <c r="B244" i="3"/>
  <c r="G244" i="3" s="1" a="1"/>
  <c r="G244" i="3" s="1"/>
  <c r="B245" i="3"/>
  <c r="G245" i="3" s="1" a="1"/>
  <c r="G245" i="3" s="1"/>
  <c r="B246" i="3"/>
  <c r="G246" i="3" s="1" a="1"/>
  <c r="G246" i="3" s="1"/>
  <c r="B247" i="3"/>
  <c r="G247" i="3" s="1" a="1"/>
  <c r="G247" i="3" s="1"/>
  <c r="B248" i="3"/>
  <c r="G248" i="3" s="1" a="1"/>
  <c r="G248" i="3" s="1"/>
  <c r="B249" i="3"/>
  <c r="G249" i="3" s="1" a="1"/>
  <c r="G249" i="3" s="1"/>
  <c r="B250" i="3"/>
  <c r="G250" i="3" s="1" a="1"/>
  <c r="G250" i="3" s="1"/>
  <c r="B251" i="3"/>
  <c r="G251" i="3" s="1" a="1"/>
  <c r="G251" i="3" s="1"/>
  <c r="B252" i="3"/>
  <c r="G252" i="3" s="1" a="1"/>
  <c r="G252" i="3" s="1"/>
  <c r="B253" i="3"/>
  <c r="G253" i="3" s="1" a="1"/>
  <c r="G253" i="3" s="1"/>
  <c r="B254" i="3"/>
  <c r="G254" i="3" s="1" a="1"/>
  <c r="G254" i="3" s="1"/>
  <c r="B255" i="3"/>
  <c r="G255" i="3" s="1" a="1"/>
  <c r="G255" i="3" s="1"/>
  <c r="B256" i="3"/>
  <c r="G256" i="3" s="1" a="1"/>
  <c r="G256" i="3" s="1"/>
  <c r="B257" i="3"/>
  <c r="G257" i="3" s="1" a="1"/>
  <c r="G257" i="3" s="1"/>
  <c r="B258" i="3"/>
  <c r="G258" i="3" s="1" a="1"/>
  <c r="G258" i="3" s="1"/>
  <c r="B259" i="3"/>
  <c r="G259" i="3" s="1" a="1"/>
  <c r="G259" i="3" s="1"/>
  <c r="B260" i="3"/>
  <c r="G260" i="3" s="1" a="1"/>
  <c r="G260" i="3" s="1"/>
  <c r="B261" i="3"/>
  <c r="G261" i="3" s="1" a="1"/>
  <c r="G261" i="3" s="1"/>
  <c r="B262" i="3"/>
  <c r="G262" i="3" s="1" a="1"/>
  <c r="G262" i="3" s="1"/>
  <c r="B263" i="3"/>
  <c r="G263" i="3" s="1" a="1"/>
  <c r="G263" i="3" s="1"/>
  <c r="B264" i="3"/>
  <c r="G264" i="3" s="1" a="1"/>
  <c r="G264" i="3" s="1"/>
  <c r="B265" i="3"/>
  <c r="G265" i="3" s="1" a="1"/>
  <c r="G265" i="3" s="1"/>
  <c r="B266" i="3"/>
  <c r="G266" i="3" s="1" a="1"/>
  <c r="G266" i="3" s="1"/>
  <c r="B267" i="3"/>
  <c r="G267" i="3" s="1" a="1"/>
  <c r="G267" i="3" s="1"/>
  <c r="B268" i="3"/>
  <c r="G268" i="3" s="1" a="1"/>
  <c r="G268" i="3" s="1"/>
  <c r="B269" i="3"/>
  <c r="G269" i="3" s="1" a="1"/>
  <c r="G269" i="3" s="1"/>
  <c r="B270" i="3"/>
  <c r="G270" i="3" s="1" a="1"/>
  <c r="G270" i="3" s="1"/>
  <c r="B271" i="3"/>
  <c r="G271" i="3" s="1" a="1"/>
  <c r="G271" i="3" s="1"/>
  <c r="B272" i="3"/>
  <c r="G272" i="3" s="1" a="1"/>
  <c r="G272" i="3" s="1"/>
  <c r="B273" i="3"/>
  <c r="G273" i="3" s="1" a="1"/>
  <c r="G273" i="3" s="1"/>
  <c r="B274" i="3"/>
  <c r="G274" i="3" s="1" a="1"/>
  <c r="G274" i="3" s="1"/>
  <c r="B275" i="3"/>
  <c r="G275" i="3" s="1" a="1"/>
  <c r="G275" i="3" s="1"/>
  <c r="B276" i="3"/>
  <c r="G276" i="3" s="1" a="1"/>
  <c r="G276" i="3" s="1"/>
  <c r="B277" i="3"/>
  <c r="G277" i="3" s="1" a="1"/>
  <c r="G277" i="3" s="1"/>
  <c r="B278" i="3"/>
  <c r="G278" i="3" s="1" a="1"/>
  <c r="G278" i="3" s="1"/>
  <c r="B279" i="3"/>
  <c r="G279" i="3" s="1" a="1"/>
  <c r="G279" i="3" s="1"/>
  <c r="B280" i="3"/>
  <c r="G280" i="3" s="1" a="1"/>
  <c r="G280" i="3" s="1"/>
  <c r="B281" i="3"/>
  <c r="G281" i="3" s="1" a="1"/>
  <c r="G281" i="3" s="1"/>
  <c r="B282" i="3"/>
  <c r="G282" i="3" s="1" a="1"/>
  <c r="G282" i="3" s="1"/>
  <c r="B283" i="3"/>
  <c r="G283" i="3" s="1" a="1"/>
  <c r="G283" i="3" s="1"/>
  <c r="B284" i="3"/>
  <c r="G284" i="3" s="1" a="1"/>
  <c r="G284" i="3" s="1"/>
  <c r="B285" i="3"/>
  <c r="G285" i="3" s="1" a="1"/>
  <c r="G285" i="3" s="1"/>
  <c r="B286" i="3"/>
  <c r="G286" i="3" s="1" a="1"/>
  <c r="G286" i="3" s="1"/>
  <c r="B287" i="3"/>
  <c r="G287" i="3" s="1" a="1"/>
  <c r="G287" i="3" s="1"/>
  <c r="B288" i="3"/>
  <c r="G288" i="3" s="1" a="1"/>
  <c r="G288" i="3" s="1"/>
  <c r="B289" i="3"/>
  <c r="G289" i="3" s="1" a="1"/>
  <c r="G289" i="3" s="1"/>
  <c r="B290" i="3"/>
  <c r="G290" i="3" s="1" a="1"/>
  <c r="G290" i="3" s="1"/>
  <c r="B291" i="3"/>
  <c r="G291" i="3" s="1" a="1"/>
  <c r="G291" i="3" s="1"/>
  <c r="B292" i="3"/>
  <c r="G292" i="3" s="1" a="1"/>
  <c r="G292" i="3" s="1"/>
  <c r="B293" i="3"/>
  <c r="G293" i="3" s="1" a="1"/>
  <c r="G293" i="3" s="1"/>
  <c r="B294" i="3"/>
  <c r="G294" i="3" s="1" a="1"/>
  <c r="G294" i="3" s="1"/>
  <c r="B295" i="3"/>
  <c r="G295" i="3" s="1" a="1"/>
  <c r="G295" i="3" s="1"/>
  <c r="B296" i="3"/>
  <c r="G296" i="3" s="1" a="1"/>
  <c r="G296" i="3" s="1"/>
  <c r="B297" i="3"/>
  <c r="G297" i="3" s="1" a="1"/>
  <c r="G297" i="3" s="1"/>
  <c r="B298" i="3"/>
  <c r="G298" i="3" s="1" a="1"/>
  <c r="G298" i="3" s="1"/>
  <c r="B299" i="3"/>
  <c r="G299" i="3" s="1" a="1"/>
  <c r="G299" i="3" s="1"/>
  <c r="B300" i="3"/>
  <c r="G300" i="3" s="1" a="1"/>
  <c r="G300" i="3" s="1"/>
  <c r="B301" i="3"/>
  <c r="G301" i="3" s="1" a="1"/>
  <c r="G301" i="3" s="1"/>
  <c r="B302" i="3"/>
  <c r="G302" i="3" s="1" a="1"/>
  <c r="G302" i="3" s="1"/>
  <c r="B303" i="3"/>
  <c r="G303" i="3" s="1" a="1"/>
  <c r="G303" i="3" s="1"/>
  <c r="B304" i="3"/>
  <c r="G304" i="3" s="1" a="1"/>
  <c r="G304" i="3" s="1"/>
  <c r="B305" i="3"/>
  <c r="G305" i="3" s="1" a="1"/>
  <c r="G305" i="3" s="1"/>
  <c r="B306" i="3"/>
  <c r="G306" i="3" s="1" a="1"/>
  <c r="G306" i="3" s="1"/>
  <c r="B307" i="3"/>
  <c r="G307" i="3" s="1" a="1"/>
  <c r="G307" i="3" s="1"/>
  <c r="B308" i="3"/>
  <c r="G308" i="3" s="1" a="1"/>
  <c r="G308" i="3" s="1"/>
  <c r="B309" i="3"/>
  <c r="G309" i="3" s="1" a="1"/>
  <c r="G309" i="3" s="1"/>
  <c r="B310" i="3"/>
  <c r="G310" i="3" s="1" a="1"/>
  <c r="G310" i="3" s="1"/>
  <c r="B311" i="3"/>
  <c r="G311" i="3" s="1" a="1"/>
  <c r="G311" i="3" s="1"/>
  <c r="B312" i="3"/>
  <c r="G312" i="3" s="1" a="1"/>
  <c r="G312" i="3" s="1"/>
  <c r="B313" i="3"/>
  <c r="G313" i="3" s="1" a="1"/>
  <c r="G313" i="3" s="1"/>
  <c r="B314" i="3"/>
  <c r="G314" i="3" s="1" a="1"/>
  <c r="G314" i="3" s="1"/>
  <c r="B315" i="3"/>
  <c r="G315" i="3" s="1" a="1"/>
  <c r="G315" i="3" s="1"/>
  <c r="B316" i="3"/>
  <c r="G316" i="3" s="1" a="1"/>
  <c r="G316" i="3" s="1"/>
  <c r="B317" i="3"/>
  <c r="G317" i="3" s="1" a="1"/>
  <c r="G317" i="3" s="1"/>
  <c r="B318" i="3"/>
  <c r="G318" i="3" s="1" a="1"/>
  <c r="G318" i="3" s="1"/>
  <c r="B319" i="3"/>
  <c r="G319" i="3" s="1" a="1"/>
  <c r="G319" i="3" s="1"/>
  <c r="B320" i="3"/>
  <c r="G320" i="3" s="1" a="1"/>
  <c r="G320" i="3" s="1"/>
  <c r="B321" i="3"/>
  <c r="G321" i="3" s="1" a="1"/>
  <c r="G321" i="3" s="1"/>
  <c r="B322" i="3"/>
  <c r="G322" i="3" s="1" a="1"/>
  <c r="G322" i="3" s="1"/>
  <c r="B323" i="3"/>
  <c r="G323" i="3" s="1" a="1"/>
  <c r="G323" i="3" s="1"/>
  <c r="B324" i="3"/>
  <c r="G324" i="3" s="1" a="1"/>
  <c r="G324" i="3" s="1"/>
  <c r="B325" i="3"/>
  <c r="G325" i="3" s="1" a="1"/>
  <c r="G325" i="3" s="1"/>
  <c r="B326" i="3"/>
  <c r="G326" i="3" s="1" a="1"/>
  <c r="G326" i="3" s="1"/>
  <c r="B327" i="3"/>
  <c r="G327" i="3" s="1" a="1"/>
  <c r="G327" i="3" s="1"/>
  <c r="B328" i="3"/>
  <c r="G328" i="3" s="1" a="1"/>
  <c r="G328" i="3" s="1"/>
  <c r="B329" i="3"/>
  <c r="G329" i="3" s="1" a="1"/>
  <c r="G329" i="3" s="1"/>
  <c r="B330" i="3"/>
  <c r="G330" i="3" s="1" a="1"/>
  <c r="G330" i="3" s="1"/>
  <c r="B331" i="3"/>
  <c r="G331" i="3" s="1" a="1"/>
  <c r="G331" i="3" s="1"/>
  <c r="B332" i="3"/>
  <c r="G332" i="3" s="1" a="1"/>
  <c r="G332" i="3" s="1"/>
  <c r="B333" i="3"/>
  <c r="G333" i="3" s="1" a="1"/>
  <c r="G333" i="3" s="1"/>
  <c r="B334" i="3"/>
  <c r="G334" i="3" s="1" a="1"/>
  <c r="G334" i="3" s="1"/>
  <c r="B335" i="3"/>
  <c r="G335" i="3" s="1" a="1"/>
  <c r="G335" i="3" s="1"/>
  <c r="B336" i="3"/>
  <c r="G336" i="3" s="1" a="1"/>
  <c r="G336" i="3" s="1"/>
  <c r="B337" i="3"/>
  <c r="G337" i="3" s="1" a="1"/>
  <c r="G337" i="3" s="1"/>
  <c r="B338" i="3"/>
  <c r="G338" i="3" s="1" a="1"/>
  <c r="G338" i="3" s="1"/>
  <c r="B339" i="3"/>
  <c r="G339" i="3" s="1" a="1"/>
  <c r="G339" i="3" s="1"/>
  <c r="B340" i="3"/>
  <c r="G340" i="3" s="1" a="1"/>
  <c r="G340" i="3" s="1"/>
  <c r="B341" i="3"/>
  <c r="G341" i="3" s="1" a="1"/>
  <c r="G341" i="3" s="1"/>
  <c r="B342" i="3"/>
  <c r="G342" i="3" s="1" a="1"/>
  <c r="G342" i="3" s="1"/>
  <c r="B343" i="3"/>
  <c r="G343" i="3" s="1" a="1"/>
  <c r="G343" i="3" s="1"/>
  <c r="B344" i="3"/>
  <c r="G344" i="3" s="1" a="1"/>
  <c r="G344" i="3" s="1"/>
  <c r="B345" i="3"/>
  <c r="G345" i="3" s="1" a="1"/>
  <c r="G345" i="3" s="1"/>
  <c r="B346" i="3"/>
  <c r="G346" i="3" s="1" a="1"/>
  <c r="G346" i="3" s="1"/>
  <c r="B347" i="3"/>
  <c r="G347" i="3" s="1" a="1"/>
  <c r="G347" i="3" s="1"/>
  <c r="B348" i="3"/>
  <c r="G348" i="3" s="1" a="1"/>
  <c r="G348" i="3" s="1"/>
  <c r="B349" i="3"/>
  <c r="G349" i="3" s="1" a="1"/>
  <c r="G349" i="3" s="1"/>
  <c r="B350" i="3"/>
  <c r="G350" i="3" s="1" a="1"/>
  <c r="G350" i="3" s="1"/>
  <c r="B351" i="3"/>
  <c r="G351" i="3" s="1" a="1"/>
  <c r="G351" i="3" s="1"/>
  <c r="B352" i="3"/>
  <c r="G352" i="3" s="1" a="1"/>
  <c r="G352" i="3" s="1"/>
  <c r="B353" i="3"/>
  <c r="G353" i="3" s="1" a="1"/>
  <c r="G353" i="3" s="1"/>
  <c r="B354" i="3"/>
  <c r="G354" i="3" s="1" a="1"/>
  <c r="G354" i="3" s="1"/>
  <c r="B355" i="3"/>
  <c r="G355" i="3" s="1" a="1"/>
  <c r="G355" i="3" s="1"/>
  <c r="B356" i="3"/>
  <c r="G356" i="3" s="1" a="1"/>
  <c r="G356" i="3" s="1"/>
  <c r="B357" i="3"/>
  <c r="G357" i="3" s="1" a="1"/>
  <c r="G357" i="3" s="1"/>
  <c r="B358" i="3"/>
  <c r="G358" i="3" s="1" a="1"/>
  <c r="G358" i="3" s="1"/>
  <c r="B359" i="3"/>
  <c r="G359" i="3" s="1" a="1"/>
  <c r="G359" i="3" s="1"/>
  <c r="B360" i="3"/>
  <c r="G360" i="3" s="1" a="1"/>
  <c r="G360" i="3" s="1"/>
  <c r="B361" i="3"/>
  <c r="G361" i="3" s="1" a="1"/>
  <c r="G361" i="3" s="1"/>
  <c r="B362" i="3"/>
  <c r="G362" i="3" s="1" a="1"/>
  <c r="G362" i="3" s="1"/>
  <c r="B363" i="3"/>
  <c r="G363" i="3" s="1" a="1"/>
  <c r="G363" i="3" s="1"/>
  <c r="B364" i="3"/>
  <c r="G364" i="3" s="1" a="1"/>
  <c r="G364" i="3" s="1"/>
  <c r="B365" i="3"/>
  <c r="G365" i="3" s="1" a="1"/>
  <c r="G365" i="3" s="1"/>
  <c r="B366" i="3"/>
  <c r="G366" i="3" s="1" a="1"/>
  <c r="G366" i="3" s="1"/>
  <c r="B367" i="3"/>
  <c r="G367" i="3" s="1" a="1"/>
  <c r="G367" i="3" s="1"/>
  <c r="B368" i="3"/>
  <c r="G368" i="3" s="1" a="1"/>
  <c r="G368" i="3" s="1"/>
  <c r="B369" i="3"/>
  <c r="G369" i="3" s="1" a="1"/>
  <c r="G369" i="3" s="1"/>
  <c r="B370" i="3"/>
  <c r="G370" i="3" s="1" a="1"/>
  <c r="G370" i="3" s="1"/>
  <c r="B371" i="3"/>
  <c r="G371" i="3" s="1" a="1"/>
  <c r="G371" i="3" s="1"/>
  <c r="B372" i="3"/>
  <c r="G372" i="3" s="1" a="1"/>
  <c r="G372" i="3" s="1"/>
  <c r="B373" i="3"/>
  <c r="G373" i="3" s="1" a="1"/>
  <c r="G373" i="3" s="1"/>
  <c r="B374" i="3"/>
  <c r="G374" i="3" s="1" a="1"/>
  <c r="G374" i="3" s="1"/>
  <c r="B375" i="3"/>
  <c r="G375" i="3" s="1" a="1"/>
  <c r="G375" i="3" s="1"/>
  <c r="B376" i="3"/>
  <c r="G376" i="3" s="1" a="1"/>
  <c r="G376" i="3" s="1"/>
  <c r="B377" i="3"/>
  <c r="G377" i="3" s="1" a="1"/>
  <c r="G377" i="3" s="1"/>
  <c r="B378" i="3"/>
  <c r="G378" i="3" s="1" a="1"/>
  <c r="G378" i="3" s="1"/>
  <c r="B379" i="3"/>
  <c r="G379" i="3" s="1" a="1"/>
  <c r="G379" i="3" s="1"/>
  <c r="B380" i="3"/>
  <c r="G380" i="3" s="1" a="1"/>
  <c r="G380" i="3" s="1"/>
  <c r="B381" i="3"/>
  <c r="G381" i="3" s="1" a="1"/>
  <c r="G381" i="3" s="1"/>
  <c r="B382" i="3"/>
  <c r="G382" i="3" s="1" a="1"/>
  <c r="G382" i="3" s="1"/>
  <c r="B383" i="3"/>
  <c r="G383" i="3" s="1" a="1"/>
  <c r="G383" i="3" s="1"/>
  <c r="B384" i="3"/>
  <c r="G384" i="3" s="1" a="1"/>
  <c r="G384" i="3" s="1"/>
  <c r="B385" i="3"/>
  <c r="G385" i="3" s="1" a="1"/>
  <c r="G385" i="3" s="1"/>
  <c r="B386" i="3"/>
  <c r="G386" i="3" s="1" a="1"/>
  <c r="G386" i="3" s="1"/>
  <c r="B387" i="3"/>
  <c r="G387" i="3" s="1" a="1"/>
  <c r="G387" i="3" s="1"/>
  <c r="B388" i="3"/>
  <c r="G388" i="3" s="1" a="1"/>
  <c r="G388" i="3" s="1"/>
  <c r="B389" i="3"/>
  <c r="G389" i="3" s="1" a="1"/>
  <c r="G389" i="3" s="1"/>
  <c r="B390" i="3"/>
  <c r="G390" i="3" s="1" a="1"/>
  <c r="G390" i="3" s="1"/>
  <c r="B391" i="3"/>
  <c r="G391" i="3" s="1" a="1"/>
  <c r="G391" i="3" s="1"/>
  <c r="B392" i="3"/>
  <c r="G392" i="3" s="1" a="1"/>
  <c r="G392" i="3" s="1"/>
  <c r="B393" i="3"/>
  <c r="G393" i="3" s="1" a="1"/>
  <c r="G393" i="3" s="1"/>
  <c r="B394" i="3"/>
  <c r="G394" i="3" s="1" a="1"/>
  <c r="G394" i="3" s="1"/>
  <c r="B395" i="3"/>
  <c r="G395" i="3" s="1" a="1"/>
  <c r="G395" i="3" s="1"/>
  <c r="B396" i="3"/>
  <c r="G396" i="3" s="1" a="1"/>
  <c r="G396" i="3" s="1"/>
  <c r="B397" i="3"/>
  <c r="G397" i="3" s="1" a="1"/>
  <c r="G397" i="3" s="1"/>
  <c r="B398" i="3"/>
  <c r="G398" i="3" s="1" a="1"/>
  <c r="G398" i="3" s="1"/>
  <c r="B399" i="3"/>
  <c r="G399" i="3" s="1" a="1"/>
  <c r="G399" i="3" s="1"/>
  <c r="B400" i="3"/>
  <c r="G400" i="3" s="1" a="1"/>
  <c r="G400" i="3" s="1"/>
  <c r="B401" i="3"/>
  <c r="G401" i="3" s="1" a="1"/>
  <c r="G401" i="3" s="1"/>
  <c r="B402" i="3"/>
  <c r="G402" i="3" s="1" a="1"/>
  <c r="G402" i="3" s="1"/>
  <c r="B403" i="3"/>
  <c r="G403" i="3" s="1" a="1"/>
  <c r="G403" i="3" s="1"/>
  <c r="B404" i="3"/>
  <c r="G404" i="3" s="1" a="1"/>
  <c r="G404" i="3" s="1"/>
  <c r="B405" i="3"/>
  <c r="G405" i="3" s="1" a="1"/>
  <c r="G405" i="3" s="1"/>
  <c r="B406" i="3"/>
  <c r="G406" i="3" s="1" a="1"/>
  <c r="G406" i="3" s="1"/>
  <c r="B407" i="3"/>
  <c r="G407" i="3" s="1" a="1"/>
  <c r="G407" i="3" s="1"/>
  <c r="B408" i="3"/>
  <c r="G408" i="3" s="1" a="1"/>
  <c r="G408" i="3" s="1"/>
  <c r="B409" i="3"/>
  <c r="G409" i="3" s="1" a="1"/>
  <c r="G409" i="3" s="1"/>
  <c r="B410" i="3"/>
  <c r="G410" i="3" s="1" a="1"/>
  <c r="G410" i="3" s="1"/>
  <c r="B411" i="3"/>
  <c r="G411" i="3" s="1" a="1"/>
  <c r="G411" i="3" s="1"/>
  <c r="B412" i="3"/>
  <c r="G412" i="3" s="1" a="1"/>
  <c r="G412" i="3" s="1"/>
  <c r="B413" i="3"/>
  <c r="G413" i="3" s="1" a="1"/>
  <c r="G413" i="3" s="1"/>
  <c r="B414" i="3"/>
  <c r="G414" i="3" s="1" a="1"/>
  <c r="G414" i="3" s="1"/>
  <c r="B415" i="3"/>
  <c r="G415" i="3" s="1" a="1"/>
  <c r="G415" i="3" s="1"/>
  <c r="B416" i="3"/>
  <c r="G416" i="3" s="1" a="1"/>
  <c r="G416" i="3" s="1"/>
  <c r="B417" i="3"/>
  <c r="G417" i="3" s="1" a="1"/>
  <c r="G417" i="3" s="1"/>
  <c r="B418" i="3"/>
  <c r="G418" i="3" s="1" a="1"/>
  <c r="G418" i="3" s="1"/>
  <c r="B419" i="3"/>
  <c r="G419" i="3" s="1" a="1"/>
  <c r="G419" i="3" s="1"/>
  <c r="B420" i="3"/>
  <c r="G420" i="3" s="1" a="1"/>
  <c r="G420" i="3" s="1"/>
  <c r="B421" i="3"/>
  <c r="G421" i="3" s="1" a="1"/>
  <c r="G421" i="3" s="1"/>
  <c r="B422" i="3"/>
  <c r="G422" i="3" s="1" a="1"/>
  <c r="G422" i="3" s="1"/>
  <c r="B423" i="3"/>
  <c r="G423" i="3" s="1" a="1"/>
  <c r="G423" i="3" s="1"/>
  <c r="B424" i="3"/>
  <c r="G424" i="3" s="1" a="1"/>
  <c r="G424" i="3" s="1"/>
  <c r="B425" i="3"/>
  <c r="G425" i="3" s="1" a="1"/>
  <c r="G425" i="3" s="1"/>
  <c r="B426" i="3"/>
  <c r="G426" i="3" s="1" a="1"/>
  <c r="G426" i="3" s="1"/>
  <c r="B427" i="3"/>
  <c r="G427" i="3" s="1" a="1"/>
  <c r="G427" i="3" s="1"/>
  <c r="B428" i="3"/>
  <c r="G428" i="3" s="1" a="1"/>
  <c r="G428" i="3" s="1"/>
  <c r="B429" i="3"/>
  <c r="G429" i="3" s="1" a="1"/>
  <c r="G429" i="3" s="1"/>
  <c r="B430" i="3"/>
  <c r="G430" i="3" s="1" a="1"/>
  <c r="G430" i="3" s="1"/>
  <c r="B431" i="3"/>
  <c r="G431" i="3" s="1" a="1"/>
  <c r="G431" i="3" s="1"/>
  <c r="B432" i="3"/>
  <c r="G432" i="3" s="1" a="1"/>
  <c r="G432" i="3" s="1"/>
  <c r="B433" i="3"/>
  <c r="G433" i="3" s="1" a="1"/>
  <c r="G433" i="3" s="1"/>
  <c r="B434" i="3"/>
  <c r="G434" i="3" s="1" a="1"/>
  <c r="G434" i="3" s="1"/>
  <c r="B435" i="3"/>
  <c r="G435" i="3" s="1" a="1"/>
  <c r="G435" i="3" s="1"/>
  <c r="B436" i="3"/>
  <c r="G436" i="3" s="1" a="1"/>
  <c r="G436" i="3" s="1"/>
  <c r="B437" i="3"/>
  <c r="G437" i="3" s="1" a="1"/>
  <c r="G437" i="3" s="1"/>
  <c r="B438" i="3"/>
  <c r="G438" i="3" s="1" a="1"/>
  <c r="G438" i="3" s="1"/>
  <c r="B439" i="3"/>
  <c r="G439" i="3" s="1" a="1"/>
  <c r="G439" i="3" s="1"/>
  <c r="B440" i="3"/>
  <c r="G440" i="3" s="1" a="1"/>
  <c r="G440" i="3" s="1"/>
  <c r="B441" i="3"/>
  <c r="G441" i="3" s="1" a="1"/>
  <c r="G441" i="3" s="1"/>
  <c r="B442" i="3"/>
  <c r="G442" i="3" s="1" a="1"/>
  <c r="G442" i="3" s="1"/>
  <c r="B443" i="3"/>
  <c r="G443" i="3" s="1" a="1"/>
  <c r="G443" i="3" s="1"/>
  <c r="B444" i="3"/>
  <c r="G444" i="3" s="1" a="1"/>
  <c r="G444" i="3" s="1"/>
  <c r="B445" i="3"/>
  <c r="G445" i="3" s="1" a="1"/>
  <c r="G445" i="3" s="1"/>
  <c r="B446" i="3"/>
  <c r="G446" i="3" s="1" a="1"/>
  <c r="G446" i="3" s="1"/>
  <c r="B447" i="3"/>
  <c r="G447" i="3" s="1" a="1"/>
  <c r="G447" i="3" s="1"/>
  <c r="B448" i="3"/>
  <c r="G448" i="3" s="1" a="1"/>
  <c r="G448" i="3" s="1"/>
  <c r="B449" i="3"/>
  <c r="G449" i="3" s="1" a="1"/>
  <c r="G449" i="3" s="1"/>
  <c r="B450" i="3"/>
  <c r="G450" i="3" s="1" a="1"/>
  <c r="G450" i="3" s="1"/>
  <c r="B451" i="3"/>
  <c r="G451" i="3" s="1" a="1"/>
  <c r="G451" i="3" s="1"/>
  <c r="B452" i="3"/>
  <c r="G452" i="3" s="1" a="1"/>
  <c r="G452" i="3" s="1"/>
  <c r="B453" i="3"/>
  <c r="G453" i="3" s="1" a="1"/>
  <c r="G453" i="3" s="1"/>
  <c r="B454" i="3"/>
  <c r="G454" i="3" s="1" a="1"/>
  <c r="G454" i="3" s="1"/>
  <c r="B455" i="3"/>
  <c r="G455" i="3" s="1" a="1"/>
  <c r="G455" i="3" s="1"/>
  <c r="B456" i="3"/>
  <c r="G456" i="3" s="1" a="1"/>
  <c r="G456" i="3" s="1"/>
  <c r="B457" i="3"/>
  <c r="G457" i="3" s="1" a="1"/>
  <c r="G457" i="3" s="1"/>
  <c r="B458" i="3"/>
  <c r="G458" i="3" s="1" a="1"/>
  <c r="G458" i="3" s="1"/>
  <c r="B459" i="3"/>
  <c r="G459" i="3" s="1" a="1"/>
  <c r="G459" i="3" s="1"/>
  <c r="B460" i="3"/>
  <c r="G460" i="3" s="1" a="1"/>
  <c r="G460" i="3" s="1"/>
  <c r="B461" i="3"/>
  <c r="G461" i="3" s="1" a="1"/>
  <c r="G461" i="3" s="1"/>
  <c r="B462" i="3"/>
  <c r="G462" i="3" s="1" a="1"/>
  <c r="G462" i="3" s="1"/>
  <c r="B463" i="3"/>
  <c r="G463" i="3" s="1" a="1"/>
  <c r="G463" i="3" s="1"/>
  <c r="B464" i="3"/>
  <c r="G464" i="3" s="1" a="1"/>
  <c r="G464" i="3" s="1"/>
  <c r="B465" i="3"/>
  <c r="G465" i="3" s="1" a="1"/>
  <c r="G465" i="3" s="1"/>
  <c r="B466" i="3"/>
  <c r="G466" i="3" s="1" a="1"/>
  <c r="G466" i="3" s="1"/>
  <c r="B467" i="3"/>
  <c r="G467" i="3" s="1" a="1"/>
  <c r="G467" i="3" s="1"/>
  <c r="B468" i="3"/>
  <c r="G468" i="3" s="1" a="1"/>
  <c r="G468" i="3" s="1"/>
  <c r="B469" i="3"/>
  <c r="G469" i="3" s="1" a="1"/>
  <c r="G469" i="3" s="1"/>
  <c r="B470" i="3"/>
  <c r="G470" i="3" s="1" a="1"/>
  <c r="G470" i="3" s="1"/>
  <c r="B471" i="3"/>
  <c r="G471" i="3" s="1" a="1"/>
  <c r="G471" i="3" s="1"/>
  <c r="B472" i="3"/>
  <c r="G472" i="3" s="1" a="1"/>
  <c r="G472" i="3" s="1"/>
  <c r="B473" i="3"/>
  <c r="G473" i="3" s="1" a="1"/>
  <c r="G473" i="3" s="1"/>
  <c r="B474" i="3"/>
  <c r="G474" i="3" s="1" a="1"/>
  <c r="G474" i="3" s="1"/>
  <c r="B475" i="3"/>
  <c r="G475" i="3" s="1" a="1"/>
  <c r="G475" i="3" s="1"/>
  <c r="B476" i="3"/>
  <c r="G476" i="3" s="1" a="1"/>
  <c r="G476" i="3" s="1"/>
  <c r="B477" i="3"/>
  <c r="G477" i="3" s="1" a="1"/>
  <c r="G477" i="3" s="1"/>
  <c r="B478" i="3"/>
  <c r="G478" i="3" s="1" a="1"/>
  <c r="G478" i="3" s="1"/>
  <c r="B479" i="3"/>
  <c r="G479" i="3" s="1" a="1"/>
  <c r="G479" i="3" s="1"/>
  <c r="B480" i="3"/>
  <c r="G480" i="3" s="1" a="1"/>
  <c r="G480" i="3" s="1"/>
  <c r="B481" i="3"/>
  <c r="G481" i="3" s="1" a="1"/>
  <c r="G481" i="3" s="1"/>
  <c r="B482" i="3"/>
  <c r="G482" i="3" s="1" a="1"/>
  <c r="G482" i="3" s="1"/>
  <c r="B483" i="3"/>
  <c r="G483" i="3" s="1" a="1"/>
  <c r="G483" i="3" s="1"/>
  <c r="B484" i="3"/>
  <c r="G484" i="3" s="1" a="1"/>
  <c r="G484" i="3" s="1"/>
  <c r="B485" i="3"/>
  <c r="G485" i="3" s="1" a="1"/>
  <c r="G485" i="3" s="1"/>
  <c r="B486" i="3"/>
  <c r="G486" i="3" s="1" a="1"/>
  <c r="G486" i="3" s="1"/>
  <c r="B487" i="3"/>
  <c r="G487" i="3" s="1" a="1"/>
  <c r="G487" i="3" s="1"/>
  <c r="B488" i="3"/>
  <c r="G488" i="3" s="1" a="1"/>
  <c r="G488" i="3" s="1"/>
  <c r="B489" i="3"/>
  <c r="G489" i="3" s="1" a="1"/>
  <c r="G489" i="3" s="1"/>
  <c r="B490" i="3"/>
  <c r="G490" i="3" s="1" a="1"/>
  <c r="G490" i="3" s="1"/>
  <c r="B491" i="3"/>
  <c r="G491" i="3" s="1" a="1"/>
  <c r="G491" i="3" s="1"/>
  <c r="B492" i="3"/>
  <c r="G492" i="3" s="1" a="1"/>
  <c r="G492" i="3" s="1"/>
  <c r="B493" i="3"/>
  <c r="G493" i="3" s="1" a="1"/>
  <c r="G493" i="3" s="1"/>
  <c r="B494" i="3"/>
  <c r="G494" i="3" s="1" a="1"/>
  <c r="G494" i="3" s="1"/>
  <c r="B495" i="3"/>
  <c r="G495" i="3" s="1" a="1"/>
  <c r="G495" i="3" s="1"/>
  <c r="B496" i="3"/>
  <c r="G496" i="3" s="1" a="1"/>
  <c r="G496" i="3" s="1"/>
  <c r="B497" i="3"/>
  <c r="G497" i="3" s="1" a="1"/>
  <c r="G497" i="3" s="1"/>
  <c r="B498" i="3"/>
  <c r="G498" i="3" s="1" a="1"/>
  <c r="G498" i="3" s="1"/>
  <c r="B499" i="3"/>
  <c r="G499" i="3" s="1" a="1"/>
  <c r="G499" i="3" s="1"/>
  <c r="B500" i="3"/>
  <c r="G500" i="3" s="1" a="1"/>
  <c r="G500" i="3" s="1"/>
  <c r="B501" i="3"/>
  <c r="G501" i="3" s="1" a="1"/>
  <c r="G501" i="3" s="1"/>
  <c r="B502" i="3"/>
  <c r="G502" i="3" s="1" a="1"/>
  <c r="G502" i="3" s="1"/>
  <c r="B503" i="3"/>
  <c r="G503" i="3" s="1" a="1"/>
  <c r="G503" i="3" s="1"/>
  <c r="B504" i="3"/>
  <c r="G504" i="3" s="1" a="1"/>
  <c r="G504" i="3" s="1"/>
  <c r="B505" i="3"/>
  <c r="G505" i="3" s="1" a="1"/>
  <c r="G505" i="3" s="1"/>
  <c r="B506" i="3"/>
  <c r="G506" i="3" s="1" a="1"/>
  <c r="G506" i="3" s="1"/>
  <c r="B507" i="3"/>
  <c r="G507" i="3" s="1" a="1"/>
  <c r="G507" i="3" s="1"/>
  <c r="B508" i="3"/>
  <c r="G508" i="3" s="1" a="1"/>
  <c r="G508" i="3" s="1"/>
  <c r="B509" i="3"/>
  <c r="G509" i="3" s="1" a="1"/>
  <c r="G509" i="3" s="1"/>
  <c r="B510" i="3"/>
  <c r="G510" i="3" s="1" a="1"/>
  <c r="G510" i="3" s="1"/>
  <c r="B511" i="3"/>
  <c r="G511" i="3" s="1" a="1"/>
  <c r="G511" i="3" s="1"/>
  <c r="B512" i="3"/>
  <c r="G512" i="3" s="1" a="1"/>
  <c r="G512" i="3" s="1"/>
  <c r="B513" i="3"/>
  <c r="G513" i="3" s="1" a="1"/>
  <c r="G513" i="3" s="1"/>
  <c r="B514" i="3"/>
  <c r="G514" i="3" s="1" a="1"/>
  <c r="G514" i="3" s="1"/>
  <c r="B515" i="3"/>
  <c r="G515" i="3" s="1" a="1"/>
  <c r="G515" i="3" s="1"/>
  <c r="B516" i="3"/>
  <c r="G516" i="3" s="1" a="1"/>
  <c r="G516" i="3" s="1"/>
  <c r="B517" i="3"/>
  <c r="G517" i="3" s="1" a="1"/>
  <c r="G517" i="3" s="1"/>
  <c r="B518" i="3"/>
  <c r="G518" i="3" s="1" a="1"/>
  <c r="G518" i="3" s="1"/>
  <c r="B519" i="3"/>
  <c r="G519" i="3" s="1" a="1"/>
  <c r="G519" i="3" s="1"/>
  <c r="B520" i="3"/>
  <c r="G520" i="3" s="1" a="1"/>
  <c r="G520" i="3" s="1"/>
  <c r="B521" i="3"/>
  <c r="G521" i="3" s="1" a="1"/>
  <c r="G521" i="3" s="1"/>
  <c r="B522" i="3"/>
  <c r="G522" i="3" s="1" a="1"/>
  <c r="G522" i="3" s="1"/>
  <c r="B523" i="3"/>
  <c r="G523" i="3" s="1" a="1"/>
  <c r="G523" i="3" s="1"/>
  <c r="B524" i="3"/>
  <c r="G524" i="3" s="1" a="1"/>
  <c r="G524" i="3" s="1"/>
  <c r="B525" i="3"/>
  <c r="G525" i="3" s="1" a="1"/>
  <c r="G525" i="3" s="1"/>
  <c r="B526" i="3"/>
  <c r="G526" i="3" s="1" a="1"/>
  <c r="G526" i="3" s="1"/>
  <c r="B527" i="3"/>
  <c r="G527" i="3" s="1" a="1"/>
  <c r="G527" i="3" s="1"/>
  <c r="B528" i="3"/>
  <c r="G528" i="3" s="1" a="1"/>
  <c r="G528" i="3" s="1"/>
  <c r="B529" i="3"/>
  <c r="G529" i="3" s="1" a="1"/>
  <c r="G529" i="3" s="1"/>
  <c r="B530" i="3"/>
  <c r="G530" i="3" s="1" a="1"/>
  <c r="G530" i="3" s="1"/>
  <c r="B531" i="3"/>
  <c r="G531" i="3" s="1" a="1"/>
  <c r="G531" i="3" s="1"/>
  <c r="B532" i="3"/>
  <c r="G532" i="3" s="1" a="1"/>
  <c r="G532" i="3" s="1"/>
  <c r="B533" i="3"/>
  <c r="G533" i="3" s="1" a="1"/>
  <c r="G533" i="3" s="1"/>
  <c r="B534" i="3"/>
  <c r="G534" i="3" s="1" a="1"/>
  <c r="G534" i="3" s="1"/>
  <c r="B535" i="3"/>
  <c r="G535" i="3" s="1" a="1"/>
  <c r="G535" i="3" s="1"/>
  <c r="B536" i="3"/>
  <c r="G536" i="3" s="1" a="1"/>
  <c r="G536" i="3" s="1"/>
  <c r="B537" i="3"/>
  <c r="G537" i="3" s="1" a="1"/>
  <c r="G537" i="3" s="1"/>
  <c r="B538" i="3"/>
  <c r="G538" i="3" s="1" a="1"/>
  <c r="G538" i="3" s="1"/>
  <c r="B539" i="3"/>
  <c r="G539" i="3" s="1" a="1"/>
  <c r="G539" i="3" s="1"/>
  <c r="B540" i="3"/>
  <c r="G540" i="3" s="1" a="1"/>
  <c r="G540" i="3" s="1"/>
  <c r="B541" i="3"/>
  <c r="G541" i="3" s="1" a="1"/>
  <c r="G541" i="3" s="1"/>
  <c r="B542" i="3"/>
  <c r="G542" i="3" s="1" a="1"/>
  <c r="G542" i="3" s="1"/>
  <c r="B543" i="3"/>
  <c r="G543" i="3" s="1" a="1"/>
  <c r="G543" i="3" s="1"/>
  <c r="B544" i="3"/>
  <c r="G544" i="3" s="1" a="1"/>
  <c r="G544" i="3" s="1"/>
  <c r="B545" i="3"/>
  <c r="G545" i="3" s="1" a="1"/>
  <c r="G545" i="3" s="1"/>
  <c r="B546" i="3"/>
  <c r="G546" i="3" s="1" a="1"/>
  <c r="G546" i="3" s="1"/>
  <c r="B547" i="3"/>
  <c r="G547" i="3" s="1" a="1"/>
  <c r="G547" i="3" s="1"/>
  <c r="B548" i="3"/>
  <c r="G548" i="3" s="1" a="1"/>
  <c r="G548" i="3" s="1"/>
  <c r="B549" i="3"/>
  <c r="G549" i="3" s="1" a="1"/>
  <c r="G549" i="3" s="1"/>
  <c r="B550" i="3"/>
  <c r="G550" i="3" s="1" a="1"/>
  <c r="G550" i="3" s="1"/>
  <c r="B551" i="3"/>
  <c r="G551" i="3" s="1" a="1"/>
  <c r="G551" i="3" s="1"/>
  <c r="B552" i="3"/>
  <c r="G552" i="3" s="1" a="1"/>
  <c r="G552" i="3" s="1"/>
  <c r="B553" i="3"/>
  <c r="G553" i="3" s="1" a="1"/>
  <c r="G553" i="3" s="1"/>
  <c r="B554" i="3"/>
  <c r="G554" i="3" s="1" a="1"/>
  <c r="G554" i="3" s="1"/>
  <c r="B555" i="3"/>
  <c r="G555" i="3" s="1" a="1"/>
  <c r="G555" i="3" s="1"/>
  <c r="B556" i="3"/>
  <c r="G556" i="3" s="1" a="1"/>
  <c r="G556" i="3" s="1"/>
  <c r="B557" i="3"/>
  <c r="G557" i="3" s="1" a="1"/>
  <c r="G557" i="3" s="1"/>
  <c r="B558" i="3"/>
  <c r="G558" i="3" s="1" a="1"/>
  <c r="G558" i="3" s="1"/>
  <c r="B559" i="3"/>
  <c r="G559" i="3" s="1" a="1"/>
  <c r="G559" i="3" s="1"/>
  <c r="B560" i="3"/>
  <c r="G560" i="3" s="1" a="1"/>
  <c r="G560" i="3" s="1"/>
  <c r="B561" i="3"/>
  <c r="G561" i="3" s="1" a="1"/>
  <c r="G561" i="3" s="1"/>
  <c r="B562" i="3"/>
  <c r="G562" i="3" s="1" a="1"/>
  <c r="G562" i="3" s="1"/>
  <c r="B563" i="3"/>
  <c r="G563" i="3" s="1" a="1"/>
  <c r="G563" i="3" s="1"/>
  <c r="B564" i="3"/>
  <c r="G564" i="3" s="1" a="1"/>
  <c r="G564" i="3" s="1"/>
  <c r="B565" i="3"/>
  <c r="G565" i="3" s="1" a="1"/>
  <c r="G565" i="3" s="1"/>
  <c r="B566" i="3"/>
  <c r="G566" i="3" s="1" a="1"/>
  <c r="G566" i="3" s="1"/>
  <c r="B567" i="3"/>
  <c r="G567" i="3" s="1" a="1"/>
  <c r="G567" i="3" s="1"/>
  <c r="B568" i="3"/>
  <c r="G568" i="3" s="1" a="1"/>
  <c r="G568" i="3" s="1"/>
  <c r="B569" i="3"/>
  <c r="G569" i="3" s="1" a="1"/>
  <c r="G569" i="3" s="1"/>
  <c r="B570" i="3"/>
  <c r="G570" i="3" s="1" a="1"/>
  <c r="G570" i="3" s="1"/>
  <c r="B571" i="3"/>
  <c r="G571" i="3" s="1" a="1"/>
  <c r="G571" i="3" s="1"/>
  <c r="B572" i="3"/>
  <c r="G572" i="3" s="1" a="1"/>
  <c r="G572" i="3" s="1"/>
  <c r="B573" i="3"/>
  <c r="G573" i="3" s="1" a="1"/>
  <c r="G573" i="3" s="1"/>
  <c r="B574" i="3"/>
  <c r="G574" i="3" s="1" a="1"/>
  <c r="G574" i="3" s="1"/>
  <c r="B575" i="3"/>
  <c r="G575" i="3" s="1" a="1"/>
  <c r="G575" i="3" s="1"/>
  <c r="B576" i="3"/>
  <c r="G576" i="3" s="1" a="1"/>
  <c r="G576" i="3" s="1"/>
  <c r="B577" i="3"/>
  <c r="G577" i="3" s="1" a="1"/>
  <c r="G577" i="3" s="1"/>
  <c r="B578" i="3"/>
  <c r="G578" i="3" s="1" a="1"/>
  <c r="G578" i="3" s="1"/>
  <c r="B579" i="3"/>
  <c r="G579" i="3" s="1" a="1"/>
  <c r="G579" i="3" s="1"/>
  <c r="B580" i="3"/>
  <c r="G580" i="3" s="1" a="1"/>
  <c r="G580" i="3" s="1"/>
  <c r="B581" i="3"/>
  <c r="G581" i="3" s="1" a="1"/>
  <c r="G581" i="3" s="1"/>
  <c r="B582" i="3"/>
  <c r="G582" i="3" s="1" a="1"/>
  <c r="G582" i="3" s="1"/>
  <c r="B583" i="3"/>
  <c r="G583" i="3" s="1" a="1"/>
  <c r="G583" i="3" s="1"/>
  <c r="B584" i="3"/>
  <c r="G584" i="3" s="1" a="1"/>
  <c r="G584" i="3" s="1"/>
  <c r="B585" i="3"/>
  <c r="G585" i="3" s="1" a="1"/>
  <c r="G585" i="3" s="1"/>
  <c r="B586" i="3"/>
  <c r="G586" i="3" s="1" a="1"/>
  <c r="G586" i="3" s="1"/>
  <c r="B587" i="3"/>
  <c r="G587" i="3" s="1" a="1"/>
  <c r="G587" i="3" s="1"/>
  <c r="B588" i="3"/>
  <c r="G588" i="3" s="1" a="1"/>
  <c r="G588" i="3" s="1"/>
  <c r="B589" i="3"/>
  <c r="G589" i="3" s="1" a="1"/>
  <c r="G589" i="3" s="1"/>
  <c r="B590" i="3"/>
  <c r="G590" i="3" s="1" a="1"/>
  <c r="G590" i="3" s="1"/>
  <c r="B591" i="3"/>
  <c r="G591" i="3" s="1" a="1"/>
  <c r="G591" i="3" s="1"/>
  <c r="B592" i="3"/>
  <c r="G592" i="3" s="1" a="1"/>
  <c r="G592" i="3" s="1"/>
  <c r="B593" i="3"/>
  <c r="G593" i="3" s="1" a="1"/>
  <c r="G593" i="3" s="1"/>
  <c r="B594" i="3"/>
  <c r="G594" i="3" s="1" a="1"/>
  <c r="G594" i="3" s="1"/>
  <c r="B595" i="3"/>
  <c r="G595" i="3" s="1" a="1"/>
  <c r="G595" i="3" s="1"/>
  <c r="B596" i="3"/>
  <c r="G596" i="3" s="1" a="1"/>
  <c r="G596" i="3" s="1"/>
  <c r="B597" i="3"/>
  <c r="G597" i="3" s="1" a="1"/>
  <c r="G597" i="3" s="1"/>
  <c r="B598" i="3"/>
  <c r="G598" i="3" s="1" a="1"/>
  <c r="G598" i="3" s="1"/>
  <c r="B599" i="3"/>
  <c r="G599" i="3" s="1" a="1"/>
  <c r="G599" i="3" s="1"/>
  <c r="B600" i="3"/>
  <c r="G600" i="3" s="1" a="1"/>
  <c r="G600" i="3" s="1"/>
  <c r="B601" i="3"/>
  <c r="G601" i="3" s="1" a="1"/>
  <c r="G601" i="3" s="1"/>
  <c r="B602" i="3"/>
  <c r="G602" i="3" s="1" a="1"/>
  <c r="G602" i="3" s="1"/>
  <c r="B603" i="3"/>
  <c r="G603" i="3" s="1" a="1"/>
  <c r="G603" i="3" s="1"/>
  <c r="B604" i="3"/>
  <c r="G604" i="3" s="1" a="1"/>
  <c r="G604" i="3" s="1"/>
  <c r="B605" i="3"/>
  <c r="G605" i="3" s="1" a="1"/>
  <c r="G605" i="3" s="1"/>
  <c r="B606" i="3"/>
  <c r="G606" i="3" s="1" a="1"/>
  <c r="G606" i="3" s="1"/>
  <c r="B607" i="3"/>
  <c r="G607" i="3" s="1" a="1"/>
  <c r="G607" i="3" s="1"/>
  <c r="B608" i="3"/>
  <c r="G608" i="3" s="1" a="1"/>
  <c r="G608" i="3" s="1"/>
  <c r="B609" i="3"/>
  <c r="G609" i="3" s="1" a="1"/>
  <c r="G609" i="3" s="1"/>
  <c r="B610" i="3"/>
  <c r="G610" i="3" s="1" a="1"/>
  <c r="G610" i="3" s="1"/>
  <c r="B611" i="3"/>
  <c r="G611" i="3" s="1" a="1"/>
  <c r="G611" i="3" s="1"/>
  <c r="B612" i="3"/>
  <c r="G612" i="3" s="1" a="1"/>
  <c r="G612" i="3" s="1"/>
  <c r="B613" i="3"/>
  <c r="G613" i="3" s="1" a="1"/>
  <c r="G613" i="3" s="1"/>
  <c r="B614" i="3"/>
  <c r="G614" i="3" s="1" a="1"/>
  <c r="G614" i="3" s="1"/>
  <c r="B615" i="3"/>
  <c r="G615" i="3" s="1" a="1"/>
  <c r="G615" i="3" s="1"/>
  <c r="B616" i="3"/>
  <c r="G616" i="3" s="1" a="1"/>
  <c r="G616" i="3" s="1"/>
  <c r="B617" i="3"/>
  <c r="G617" i="3" s="1" a="1"/>
  <c r="G617" i="3" s="1"/>
  <c r="B2" i="3"/>
  <c r="G2" i="3" s="1" a="1"/>
  <c r="G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5" i="3" a="1"/>
  <c r="F135" i="3" s="1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 s="1"/>
  <c r="F170" i="3" a="1"/>
  <c r="F170" i="3" s="1"/>
  <c r="F171" i="3" a="1"/>
  <c r="F171" i="3" s="1"/>
  <c r="F172" i="3" a="1"/>
  <c r="F172" i="3" s="1"/>
  <c r="F173" i="3" a="1"/>
  <c r="F173" i="3" s="1"/>
  <c r="F174" i="3" a="1"/>
  <c r="F174" i="3" s="1"/>
  <c r="F175" i="3" a="1"/>
  <c r="F175" i="3" s="1"/>
  <c r="F176" i="3" a="1"/>
  <c r="F176" i="3" s="1"/>
  <c r="F177" i="3" a="1"/>
  <c r="F177" i="3" s="1"/>
  <c r="F178" i="3" a="1"/>
  <c r="F178" i="3" s="1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 s="1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 s="1"/>
  <c r="F205" i="3" a="1"/>
  <c r="F205" i="3" s="1"/>
  <c r="F206" i="3" a="1"/>
  <c r="F206" i="3" s="1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 s="1"/>
  <c r="F219" i="3" a="1"/>
  <c r="F219" i="3" s="1"/>
  <c r="F220" i="3" a="1"/>
  <c r="F220" i="3" s="1"/>
  <c r="F221" i="3" a="1"/>
  <c r="F221" i="3" s="1"/>
  <c r="F222" i="3" a="1"/>
  <c r="F222" i="3" s="1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F229" i="3" a="1"/>
  <c r="F229" i="3" s="1"/>
  <c r="F230" i="3" a="1"/>
  <c r="F230" i="3" s="1"/>
  <c r="F231" i="3" a="1"/>
  <c r="F231" i="3" s="1"/>
  <c r="F232" i="3" a="1"/>
  <c r="F232" i="3" s="1"/>
  <c r="F233" i="3" a="1"/>
  <c r="F233" i="3" s="1"/>
  <c r="F234" i="3" a="1"/>
  <c r="F234" i="3" s="1"/>
  <c r="F235" i="3" a="1"/>
  <c r="F235" i="3" s="1"/>
  <c r="F236" i="3" a="1"/>
  <c r="F236" i="3" s="1"/>
  <c r="F237" i="3" a="1"/>
  <c r="F237" i="3" s="1"/>
  <c r="F238" i="3" a="1"/>
  <c r="F238" i="3" s="1"/>
  <c r="F239" i="3" a="1"/>
  <c r="F239" i="3" s="1"/>
  <c r="F240" i="3" a="1"/>
  <c r="F240" i="3" s="1"/>
  <c r="F241" i="3" a="1"/>
  <c r="F241" i="3" s="1"/>
  <c r="F242" i="3" a="1"/>
  <c r="F242" i="3" s="1"/>
  <c r="F243" i="3" a="1"/>
  <c r="F243" i="3" s="1"/>
  <c r="F244" i="3" a="1"/>
  <c r="F244" i="3" s="1"/>
  <c r="F245" i="3" a="1"/>
  <c r="F245" i="3" s="1"/>
  <c r="F246" i="3" a="1"/>
  <c r="F246" i="3" s="1"/>
  <c r="F247" i="3" a="1"/>
  <c r="F247" i="3" s="1"/>
  <c r="F248" i="3" a="1"/>
  <c r="F248" i="3" s="1"/>
  <c r="F249" i="3" a="1"/>
  <c r="F249" i="3" s="1"/>
  <c r="F250" i="3" a="1"/>
  <c r="F250" i="3" s="1"/>
  <c r="F251" i="3" a="1"/>
  <c r="F251" i="3" s="1"/>
  <c r="F252" i="3" a="1"/>
  <c r="F252" i="3" s="1"/>
  <c r="F253" i="3" a="1"/>
  <c r="F253" i="3" s="1"/>
  <c r="F254" i="3" a="1"/>
  <c r="F254" i="3" s="1"/>
  <c r="F255" i="3" a="1"/>
  <c r="F255" i="3" s="1"/>
  <c r="F256" i="3" a="1"/>
  <c r="F256" i="3" s="1"/>
  <c r="F257" i="3" a="1"/>
  <c r="F257" i="3" s="1"/>
  <c r="F258" i="3" a="1"/>
  <c r="F258" i="3" s="1"/>
  <c r="F259" i="3" a="1"/>
  <c r="F259" i="3" s="1"/>
  <c r="F260" i="3" a="1"/>
  <c r="F260" i="3" s="1"/>
  <c r="F261" i="3" a="1"/>
  <c r="F261" i="3" s="1"/>
  <c r="F262" i="3" a="1"/>
  <c r="F262" i="3" s="1"/>
  <c r="F263" i="3" a="1"/>
  <c r="F263" i="3" s="1"/>
  <c r="F264" i="3" a="1"/>
  <c r="F264" i="3" s="1"/>
  <c r="F265" i="3" a="1"/>
  <c r="F265" i="3" s="1"/>
  <c r="F266" i="3" a="1"/>
  <c r="F266" i="3" s="1"/>
  <c r="F267" i="3" a="1"/>
  <c r="F267" i="3" s="1"/>
  <c r="F268" i="3" a="1"/>
  <c r="F268" i="3" s="1"/>
  <c r="F269" i="3" a="1"/>
  <c r="F269" i="3" s="1"/>
  <c r="F270" i="3" a="1"/>
  <c r="F270" i="3" s="1"/>
  <c r="F271" i="3" a="1"/>
  <c r="F271" i="3" s="1"/>
  <c r="F272" i="3" a="1"/>
  <c r="F272" i="3" s="1"/>
  <c r="F273" i="3" a="1"/>
  <c r="F273" i="3" s="1"/>
  <c r="F274" i="3" a="1"/>
  <c r="F274" i="3" s="1"/>
  <c r="F275" i="3" a="1"/>
  <c r="F275" i="3" s="1"/>
  <c r="F276" i="3" a="1"/>
  <c r="F276" i="3" s="1"/>
  <c r="F277" i="3" a="1"/>
  <c r="F277" i="3" s="1"/>
  <c r="F278" i="3" a="1"/>
  <c r="F278" i="3" s="1"/>
  <c r="F279" i="3" a="1"/>
  <c r="F279" i="3" s="1"/>
  <c r="F280" i="3" a="1"/>
  <c r="F280" i="3" s="1"/>
  <c r="F281" i="3" a="1"/>
  <c r="F281" i="3" s="1"/>
  <c r="F282" i="3" a="1"/>
  <c r="F282" i="3" s="1"/>
  <c r="F283" i="3" a="1"/>
  <c r="F283" i="3" s="1"/>
  <c r="F284" i="3" a="1"/>
  <c r="F284" i="3" s="1"/>
  <c r="F285" i="3" a="1"/>
  <c r="F285" i="3" s="1"/>
  <c r="F286" i="3" a="1"/>
  <c r="F286" i="3" s="1"/>
  <c r="F287" i="3" a="1"/>
  <c r="F287" i="3" s="1"/>
  <c r="F288" i="3" a="1"/>
  <c r="F288" i="3" s="1"/>
  <c r="F289" i="3" a="1"/>
  <c r="F289" i="3" s="1"/>
  <c r="F290" i="3" a="1"/>
  <c r="F290" i="3" s="1"/>
  <c r="F291" i="3" a="1"/>
  <c r="F291" i="3" s="1"/>
  <c r="F292" i="3" a="1"/>
  <c r="F292" i="3" s="1"/>
  <c r="F293" i="3" a="1"/>
  <c r="F293" i="3" s="1"/>
  <c r="F294" i="3" a="1"/>
  <c r="F294" i="3" s="1"/>
  <c r="F295" i="3" a="1"/>
  <c r="F295" i="3" s="1"/>
  <c r="F296" i="3" a="1"/>
  <c r="F296" i="3" s="1"/>
  <c r="F297" i="3" a="1"/>
  <c r="F297" i="3" s="1"/>
  <c r="F298" i="3" a="1"/>
  <c r="F298" i="3" s="1"/>
  <c r="F299" i="3" a="1"/>
  <c r="F299" i="3" s="1"/>
  <c r="F300" i="3" a="1"/>
  <c r="F300" i="3" s="1"/>
  <c r="F301" i="3" a="1"/>
  <c r="F301" i="3" s="1"/>
  <c r="F302" i="3" a="1"/>
  <c r="F302" i="3" s="1"/>
  <c r="F303" i="3" a="1"/>
  <c r="F303" i="3" s="1"/>
  <c r="F304" i="3" a="1"/>
  <c r="F304" i="3" s="1"/>
  <c r="F305" i="3" a="1"/>
  <c r="F305" i="3" s="1"/>
  <c r="F306" i="3" a="1"/>
  <c r="F306" i="3" s="1"/>
  <c r="F307" i="3" a="1"/>
  <c r="F307" i="3" s="1"/>
  <c r="F308" i="3" a="1"/>
  <c r="F308" i="3" s="1"/>
  <c r="F309" i="3" a="1"/>
  <c r="F309" i="3" s="1"/>
  <c r="F310" i="3" a="1"/>
  <c r="F310" i="3" s="1"/>
  <c r="F311" i="3" a="1"/>
  <c r="F311" i="3" s="1"/>
  <c r="F312" i="3" a="1"/>
  <c r="F312" i="3" s="1"/>
  <c r="F313" i="3" a="1"/>
  <c r="F313" i="3" s="1"/>
  <c r="F314" i="3" a="1"/>
  <c r="F314" i="3" s="1"/>
  <c r="F315" i="3" a="1"/>
  <c r="F315" i="3" s="1"/>
  <c r="F316" i="3" a="1"/>
  <c r="F316" i="3" s="1"/>
  <c r="F317" i="3" a="1"/>
  <c r="F317" i="3" s="1"/>
  <c r="F318" i="3" a="1"/>
  <c r="F318" i="3" s="1"/>
  <c r="F319" i="3" a="1"/>
  <c r="F319" i="3" s="1"/>
  <c r="F320" i="3" a="1"/>
  <c r="F320" i="3" s="1"/>
  <c r="F321" i="3" a="1"/>
  <c r="F321" i="3" s="1"/>
  <c r="F322" i="3" a="1"/>
  <c r="F322" i="3" s="1"/>
  <c r="F323" i="3" a="1"/>
  <c r="F323" i="3" s="1"/>
  <c r="F324" i="3" a="1"/>
  <c r="F324" i="3" s="1"/>
  <c r="F325" i="3" a="1"/>
  <c r="F325" i="3" s="1"/>
  <c r="F326" i="3" a="1"/>
  <c r="F326" i="3" s="1"/>
  <c r="F327" i="3" a="1"/>
  <c r="F327" i="3" s="1"/>
  <c r="F328" i="3" a="1"/>
  <c r="F328" i="3" s="1"/>
  <c r="F329" i="3" a="1"/>
  <c r="F329" i="3" s="1"/>
  <c r="F330" i="3" a="1"/>
  <c r="F330" i="3" s="1"/>
  <c r="F331" i="3" a="1"/>
  <c r="F331" i="3" s="1"/>
  <c r="F332" i="3" a="1"/>
  <c r="F332" i="3" s="1"/>
  <c r="F333" i="3" a="1"/>
  <c r="F333" i="3" s="1"/>
  <c r="F334" i="3" a="1"/>
  <c r="F334" i="3" s="1"/>
  <c r="F335" i="3" a="1"/>
  <c r="F335" i="3" s="1"/>
  <c r="F336" i="3" a="1"/>
  <c r="F336" i="3" s="1"/>
  <c r="F337" i="3" a="1"/>
  <c r="F337" i="3" s="1"/>
  <c r="F338" i="3" a="1"/>
  <c r="F338" i="3" s="1"/>
  <c r="F339" i="3" a="1"/>
  <c r="F339" i="3" s="1"/>
  <c r="F340" i="3" a="1"/>
  <c r="F340" i="3" s="1"/>
  <c r="F341" i="3" a="1"/>
  <c r="F341" i="3" s="1"/>
  <c r="F342" i="3" a="1"/>
  <c r="F342" i="3" s="1"/>
  <c r="F343" i="3" a="1"/>
  <c r="F343" i="3" s="1"/>
  <c r="F344" i="3" a="1"/>
  <c r="F344" i="3" s="1"/>
  <c r="F345" i="3" a="1"/>
  <c r="F345" i="3" s="1"/>
  <c r="F346" i="3" a="1"/>
  <c r="F346" i="3" s="1"/>
  <c r="F347" i="3" a="1"/>
  <c r="F347" i="3" s="1"/>
  <c r="F348" i="3" a="1"/>
  <c r="F348" i="3" s="1"/>
  <c r="F349" i="3" a="1"/>
  <c r="F349" i="3" s="1"/>
  <c r="F350" i="3" a="1"/>
  <c r="F350" i="3" s="1"/>
  <c r="F351" i="3" a="1"/>
  <c r="F351" i="3" s="1"/>
  <c r="F352" i="3" a="1"/>
  <c r="F352" i="3" s="1"/>
  <c r="F353" i="3" a="1"/>
  <c r="F353" i="3" s="1"/>
  <c r="F354" i="3" a="1"/>
  <c r="F354" i="3" s="1"/>
  <c r="F355" i="3" a="1"/>
  <c r="F355" i="3" s="1"/>
  <c r="F356" i="3" a="1"/>
  <c r="F356" i="3" s="1"/>
  <c r="F357" i="3" a="1"/>
  <c r="F357" i="3" s="1"/>
  <c r="F358" i="3" a="1"/>
  <c r="F358" i="3" s="1"/>
  <c r="F359" i="3" a="1"/>
  <c r="F359" i="3" s="1"/>
  <c r="F360" i="3" a="1"/>
  <c r="F360" i="3" s="1"/>
  <c r="F361" i="3" a="1"/>
  <c r="F361" i="3" s="1"/>
  <c r="F362" i="3" a="1"/>
  <c r="F362" i="3" s="1"/>
  <c r="F363" i="3" a="1"/>
  <c r="F363" i="3" s="1"/>
  <c r="F364" i="3" a="1"/>
  <c r="F364" i="3" s="1"/>
  <c r="F365" i="3" a="1"/>
  <c r="F365" i="3" s="1"/>
  <c r="F366" i="3" a="1"/>
  <c r="F366" i="3" s="1"/>
  <c r="F367" i="3" a="1"/>
  <c r="F367" i="3" s="1"/>
  <c r="F368" i="3" a="1"/>
  <c r="F368" i="3" s="1"/>
  <c r="F369" i="3" a="1"/>
  <c r="F369" i="3" s="1"/>
  <c r="F370" i="3" a="1"/>
  <c r="F370" i="3" s="1"/>
  <c r="F371" i="3" a="1"/>
  <c r="F371" i="3" s="1"/>
  <c r="F372" i="3" a="1"/>
  <c r="F372" i="3" s="1"/>
  <c r="F373" i="3" a="1"/>
  <c r="F373" i="3" s="1"/>
  <c r="F374" i="3" a="1"/>
  <c r="F374" i="3" s="1"/>
  <c r="F375" i="3" a="1"/>
  <c r="F375" i="3" s="1"/>
  <c r="F376" i="3" a="1"/>
  <c r="F376" i="3" s="1"/>
  <c r="F377" i="3" a="1"/>
  <c r="F377" i="3" s="1"/>
  <c r="F378" i="3" a="1"/>
  <c r="F378" i="3" s="1"/>
  <c r="F379" i="3" a="1"/>
  <c r="F379" i="3" s="1"/>
  <c r="F380" i="3" a="1"/>
  <c r="F380" i="3" s="1"/>
  <c r="F381" i="3" a="1"/>
  <c r="F381" i="3" s="1"/>
  <c r="F382" i="3" a="1"/>
  <c r="F382" i="3" s="1"/>
  <c r="F383" i="3" a="1"/>
  <c r="F383" i="3" s="1"/>
  <c r="F384" i="3" a="1"/>
  <c r="F384" i="3" s="1"/>
  <c r="F385" i="3" a="1"/>
  <c r="F385" i="3" s="1"/>
  <c r="F386" i="3" a="1"/>
  <c r="F386" i="3" s="1"/>
  <c r="F387" i="3" a="1"/>
  <c r="F387" i="3" s="1"/>
  <c r="F388" i="3" a="1"/>
  <c r="F388" i="3" s="1"/>
  <c r="F389" i="3" a="1"/>
  <c r="F389" i="3" s="1"/>
  <c r="F390" i="3" a="1"/>
  <c r="F390" i="3" s="1"/>
  <c r="F391" i="3" a="1"/>
  <c r="F391" i="3" s="1"/>
  <c r="F392" i="3" a="1"/>
  <c r="F392" i="3" s="1"/>
  <c r="F393" i="3" a="1"/>
  <c r="F393" i="3" s="1"/>
  <c r="F394" i="3" a="1"/>
  <c r="F394" i="3" s="1"/>
  <c r="F395" i="3" a="1"/>
  <c r="F395" i="3" s="1"/>
  <c r="F396" i="3" a="1"/>
  <c r="F396" i="3" s="1"/>
  <c r="F397" i="3" a="1"/>
  <c r="F397" i="3" s="1"/>
  <c r="F398" i="3" a="1"/>
  <c r="F398" i="3" s="1"/>
  <c r="F399" i="3" a="1"/>
  <c r="F399" i="3" s="1"/>
  <c r="F400" i="3" a="1"/>
  <c r="F400" i="3" s="1"/>
  <c r="F401" i="3" a="1"/>
  <c r="F401" i="3" s="1"/>
  <c r="F402" i="3" a="1"/>
  <c r="F402" i="3" s="1"/>
  <c r="F403" i="3" a="1"/>
  <c r="F403" i="3" s="1"/>
  <c r="F404" i="3" a="1"/>
  <c r="F404" i="3" s="1"/>
  <c r="F405" i="3" a="1"/>
  <c r="F405" i="3" s="1"/>
  <c r="F406" i="3" a="1"/>
  <c r="F406" i="3" s="1"/>
  <c r="F407" i="3" a="1"/>
  <c r="F407" i="3" s="1"/>
  <c r="F408" i="3" a="1"/>
  <c r="F408" i="3" s="1"/>
  <c r="F409" i="3" a="1"/>
  <c r="F409" i="3" s="1"/>
  <c r="F410" i="3" a="1"/>
  <c r="F410" i="3" s="1"/>
  <c r="F411" i="3" a="1"/>
  <c r="F411" i="3" s="1"/>
  <c r="F412" i="3" a="1"/>
  <c r="F412" i="3" s="1"/>
  <c r="F413" i="3" a="1"/>
  <c r="F413" i="3" s="1"/>
  <c r="F414" i="3" a="1"/>
  <c r="F414" i="3" s="1"/>
  <c r="F415" i="3" a="1"/>
  <c r="F415" i="3" s="1"/>
  <c r="F416" i="3" a="1"/>
  <c r="F416" i="3" s="1"/>
  <c r="F417" i="3" a="1"/>
  <c r="F417" i="3" s="1"/>
  <c r="F418" i="3" a="1"/>
  <c r="F418" i="3" s="1"/>
  <c r="F419" i="3" a="1"/>
  <c r="F419" i="3" s="1"/>
  <c r="F420" i="3" a="1"/>
  <c r="F420" i="3" s="1"/>
  <c r="F421" i="3" a="1"/>
  <c r="F421" i="3" s="1"/>
  <c r="F422" i="3" a="1"/>
  <c r="F422" i="3" s="1"/>
  <c r="F423" i="3" a="1"/>
  <c r="F423" i="3" s="1"/>
  <c r="F424" i="3" a="1"/>
  <c r="F424" i="3" s="1"/>
  <c r="F425" i="3" a="1"/>
  <c r="F425" i="3" s="1"/>
  <c r="F426" i="3" a="1"/>
  <c r="F426" i="3" s="1"/>
  <c r="F427" i="3" a="1"/>
  <c r="F427" i="3" s="1"/>
  <c r="F428" i="3" a="1"/>
  <c r="F428" i="3" s="1"/>
  <c r="F429" i="3" a="1"/>
  <c r="F429" i="3" s="1"/>
  <c r="F430" i="3" a="1"/>
  <c r="F430" i="3" s="1"/>
  <c r="F431" i="3" a="1"/>
  <c r="F431" i="3" s="1"/>
  <c r="F432" i="3" a="1"/>
  <c r="F432" i="3" s="1"/>
  <c r="F433" i="3" a="1"/>
  <c r="F433" i="3" s="1"/>
  <c r="F434" i="3" a="1"/>
  <c r="F434" i="3" s="1"/>
  <c r="F435" i="3" a="1"/>
  <c r="F435" i="3" s="1"/>
  <c r="F436" i="3" a="1"/>
  <c r="F436" i="3" s="1"/>
  <c r="F437" i="3" a="1"/>
  <c r="F437" i="3" s="1"/>
  <c r="F438" i="3" a="1"/>
  <c r="F438" i="3" s="1"/>
  <c r="F439" i="3" a="1"/>
  <c r="F439" i="3" s="1"/>
  <c r="F440" i="3" a="1"/>
  <c r="F440" i="3" s="1"/>
  <c r="F441" i="3" a="1"/>
  <c r="F441" i="3" s="1"/>
  <c r="F442" i="3" a="1"/>
  <c r="F442" i="3" s="1"/>
  <c r="F443" i="3" a="1"/>
  <c r="F443" i="3" s="1"/>
  <c r="F444" i="3" a="1"/>
  <c r="F444" i="3" s="1"/>
  <c r="F445" i="3" a="1"/>
  <c r="F445" i="3" s="1"/>
  <c r="F446" i="3" a="1"/>
  <c r="F446" i="3" s="1"/>
  <c r="F447" i="3" a="1"/>
  <c r="F447" i="3" s="1"/>
  <c r="F448" i="3" a="1"/>
  <c r="F448" i="3" s="1"/>
  <c r="F449" i="3" a="1"/>
  <c r="F449" i="3" s="1"/>
  <c r="F450" i="3" a="1"/>
  <c r="F450" i="3" s="1"/>
  <c r="F451" i="3" a="1"/>
  <c r="F451" i="3" s="1"/>
  <c r="F452" i="3" a="1"/>
  <c r="F452" i="3" s="1"/>
  <c r="F453" i="3" a="1"/>
  <c r="F453" i="3" s="1"/>
  <c r="F454" i="3" a="1"/>
  <c r="F454" i="3" s="1"/>
  <c r="F455" i="3" a="1"/>
  <c r="F455" i="3" s="1"/>
  <c r="F456" i="3" a="1"/>
  <c r="F456" i="3" s="1"/>
  <c r="F457" i="3" a="1"/>
  <c r="F457" i="3" s="1"/>
  <c r="F458" i="3" a="1"/>
  <c r="F458" i="3" s="1"/>
  <c r="F459" i="3" a="1"/>
  <c r="F459" i="3" s="1"/>
  <c r="F460" i="3" a="1"/>
  <c r="F460" i="3" s="1"/>
  <c r="F461" i="3" a="1"/>
  <c r="F461" i="3" s="1"/>
  <c r="F462" i="3" a="1"/>
  <c r="F462" i="3" s="1"/>
  <c r="F463" i="3" a="1"/>
  <c r="F463" i="3" s="1"/>
  <c r="F464" i="3" a="1"/>
  <c r="F464" i="3" s="1"/>
  <c r="F465" i="3" a="1"/>
  <c r="F465" i="3" s="1"/>
  <c r="F466" i="3" a="1"/>
  <c r="F466" i="3" s="1"/>
  <c r="F467" i="3" a="1"/>
  <c r="F467" i="3" s="1"/>
  <c r="F468" i="3" a="1"/>
  <c r="F468" i="3" s="1"/>
  <c r="F469" i="3" a="1"/>
  <c r="F469" i="3" s="1"/>
  <c r="F470" i="3" a="1"/>
  <c r="F470" i="3" s="1"/>
  <c r="F471" i="3" a="1"/>
  <c r="F471" i="3" s="1"/>
  <c r="F472" i="3" a="1"/>
  <c r="F472" i="3" s="1"/>
  <c r="F473" i="3" a="1"/>
  <c r="F473" i="3" s="1"/>
  <c r="F474" i="3" a="1"/>
  <c r="F474" i="3" s="1"/>
  <c r="F475" i="3" a="1"/>
  <c r="F475" i="3" s="1"/>
  <c r="F476" i="3" a="1"/>
  <c r="F476" i="3" s="1"/>
  <c r="F477" i="3" a="1"/>
  <c r="F477" i="3" s="1"/>
  <c r="F478" i="3" a="1"/>
  <c r="F478" i="3" s="1"/>
  <c r="F479" i="3" a="1"/>
  <c r="F479" i="3" s="1"/>
  <c r="F480" i="3" a="1"/>
  <c r="F480" i="3" s="1"/>
  <c r="F481" i="3" a="1"/>
  <c r="F481" i="3" s="1"/>
  <c r="F482" i="3" a="1"/>
  <c r="F482" i="3" s="1"/>
  <c r="F483" i="3" a="1"/>
  <c r="F483" i="3" s="1"/>
  <c r="F484" i="3" a="1"/>
  <c r="F484" i="3" s="1"/>
  <c r="F485" i="3" a="1"/>
  <c r="F485" i="3" s="1"/>
  <c r="F486" i="3" a="1"/>
  <c r="F486" i="3" s="1"/>
  <c r="F487" i="3" a="1"/>
  <c r="F487" i="3" s="1"/>
  <c r="F488" i="3" a="1"/>
  <c r="F488" i="3" s="1"/>
  <c r="F489" i="3" a="1"/>
  <c r="F489" i="3" s="1"/>
  <c r="F490" i="3" a="1"/>
  <c r="F490" i="3" s="1"/>
  <c r="F491" i="3" a="1"/>
  <c r="F491" i="3" s="1"/>
  <c r="F492" i="3" a="1"/>
  <c r="F492" i="3" s="1"/>
  <c r="F493" i="3" a="1"/>
  <c r="F493" i="3" s="1"/>
  <c r="F494" i="3" a="1"/>
  <c r="F494" i="3" s="1"/>
  <c r="F495" i="3" a="1"/>
  <c r="F495" i="3" s="1"/>
  <c r="F496" i="3" a="1"/>
  <c r="F496" i="3" s="1"/>
  <c r="F497" i="3" a="1"/>
  <c r="F497" i="3" s="1"/>
  <c r="F498" i="3" a="1"/>
  <c r="F498" i="3" s="1"/>
  <c r="F499" i="3" a="1"/>
  <c r="F499" i="3" s="1"/>
  <c r="F500" i="3" a="1"/>
  <c r="F500" i="3" s="1"/>
  <c r="F501" i="3" a="1"/>
  <c r="F501" i="3" s="1"/>
  <c r="F502" i="3" a="1"/>
  <c r="F502" i="3" s="1"/>
  <c r="F503" i="3" a="1"/>
  <c r="F503" i="3" s="1"/>
  <c r="F504" i="3" a="1"/>
  <c r="F504" i="3" s="1"/>
  <c r="F505" i="3" a="1"/>
  <c r="F505" i="3" s="1"/>
  <c r="F506" i="3" a="1"/>
  <c r="F506" i="3" s="1"/>
  <c r="F507" i="3" a="1"/>
  <c r="F507" i="3" s="1"/>
  <c r="F508" i="3" a="1"/>
  <c r="F508" i="3" s="1"/>
  <c r="F509" i="3" a="1"/>
  <c r="F509" i="3" s="1"/>
  <c r="F510" i="3" a="1"/>
  <c r="F510" i="3" s="1"/>
  <c r="F511" i="3" a="1"/>
  <c r="F511" i="3" s="1"/>
  <c r="F512" i="3" a="1"/>
  <c r="F512" i="3" s="1"/>
  <c r="F513" i="3" a="1"/>
  <c r="F513" i="3" s="1"/>
  <c r="F514" i="3" a="1"/>
  <c r="F514" i="3" s="1"/>
  <c r="F515" i="3" a="1"/>
  <c r="F515" i="3" s="1"/>
  <c r="F516" i="3" a="1"/>
  <c r="F516" i="3" s="1"/>
  <c r="F517" i="3" a="1"/>
  <c r="F517" i="3" s="1"/>
  <c r="F518" i="3" a="1"/>
  <c r="F518" i="3" s="1"/>
  <c r="F519" i="3" a="1"/>
  <c r="F519" i="3" s="1"/>
  <c r="F520" i="3" a="1"/>
  <c r="F520" i="3" s="1"/>
  <c r="F521" i="3" a="1"/>
  <c r="F521" i="3" s="1"/>
  <c r="F522" i="3" a="1"/>
  <c r="F522" i="3" s="1"/>
  <c r="F523" i="3" a="1"/>
  <c r="F523" i="3" s="1"/>
  <c r="F524" i="3" a="1"/>
  <c r="F524" i="3" s="1"/>
  <c r="F525" i="3" a="1"/>
  <c r="F525" i="3" s="1"/>
  <c r="F526" i="3" a="1"/>
  <c r="F526" i="3" s="1"/>
  <c r="F527" i="3" a="1"/>
  <c r="F527" i="3" s="1"/>
  <c r="F528" i="3" a="1"/>
  <c r="F528" i="3" s="1"/>
  <c r="F529" i="3" a="1"/>
  <c r="F529" i="3" s="1"/>
  <c r="F530" i="3" a="1"/>
  <c r="F530" i="3" s="1"/>
  <c r="F531" i="3" a="1"/>
  <c r="F531" i="3" s="1"/>
  <c r="F532" i="3" a="1"/>
  <c r="F532" i="3" s="1"/>
  <c r="F533" i="3" a="1"/>
  <c r="F533" i="3" s="1"/>
  <c r="F534" i="3" a="1"/>
  <c r="F534" i="3" s="1"/>
  <c r="F535" i="3" a="1"/>
  <c r="F535" i="3" s="1"/>
  <c r="F536" i="3" a="1"/>
  <c r="F536" i="3" s="1"/>
  <c r="F537" i="3" a="1"/>
  <c r="F537" i="3" s="1"/>
  <c r="F538" i="3" a="1"/>
  <c r="F538" i="3" s="1"/>
  <c r="F539" i="3" a="1"/>
  <c r="F539" i="3" s="1"/>
  <c r="F540" i="3" a="1"/>
  <c r="F540" i="3" s="1"/>
  <c r="F541" i="3" a="1"/>
  <c r="F541" i="3" s="1"/>
  <c r="F542" i="3" a="1"/>
  <c r="F542" i="3" s="1"/>
  <c r="F543" i="3" a="1"/>
  <c r="F543" i="3" s="1"/>
  <c r="F544" i="3" a="1"/>
  <c r="F544" i="3" s="1"/>
  <c r="F545" i="3" a="1"/>
  <c r="F545" i="3" s="1"/>
  <c r="F546" i="3" a="1"/>
  <c r="F546" i="3" s="1"/>
  <c r="F547" i="3" a="1"/>
  <c r="F547" i="3" s="1"/>
  <c r="F548" i="3" a="1"/>
  <c r="F548" i="3" s="1"/>
  <c r="F549" i="3" a="1"/>
  <c r="F549" i="3" s="1"/>
  <c r="F550" i="3" a="1"/>
  <c r="F550" i="3" s="1"/>
  <c r="F551" i="3" a="1"/>
  <c r="F551" i="3" s="1"/>
  <c r="F552" i="3" a="1"/>
  <c r="F552" i="3" s="1"/>
  <c r="F553" i="3" a="1"/>
  <c r="F553" i="3" s="1"/>
  <c r="F554" i="3" a="1"/>
  <c r="F554" i="3" s="1"/>
  <c r="F555" i="3" a="1"/>
  <c r="F555" i="3" s="1"/>
  <c r="F556" i="3" a="1"/>
  <c r="F556" i="3" s="1"/>
  <c r="F557" i="3" a="1"/>
  <c r="F557" i="3" s="1"/>
  <c r="F558" i="3" a="1"/>
  <c r="F558" i="3" s="1"/>
  <c r="F559" i="3" a="1"/>
  <c r="F559" i="3" s="1"/>
  <c r="F560" i="3" a="1"/>
  <c r="F560" i="3" s="1"/>
  <c r="F561" i="3" a="1"/>
  <c r="F561" i="3" s="1"/>
  <c r="F562" i="3" a="1"/>
  <c r="F562" i="3" s="1"/>
  <c r="F563" i="3" a="1"/>
  <c r="F563" i="3" s="1"/>
  <c r="F564" i="3" a="1"/>
  <c r="F564" i="3" s="1"/>
  <c r="F565" i="3" a="1"/>
  <c r="F565" i="3" s="1"/>
  <c r="F566" i="3" a="1"/>
  <c r="F566" i="3" s="1"/>
  <c r="F567" i="3" a="1"/>
  <c r="F567" i="3" s="1"/>
  <c r="F568" i="3" a="1"/>
  <c r="F568" i="3" s="1"/>
  <c r="F569" i="3" a="1"/>
  <c r="F569" i="3" s="1"/>
  <c r="F570" i="3" a="1"/>
  <c r="F570" i="3" s="1"/>
  <c r="F571" i="3" a="1"/>
  <c r="F571" i="3" s="1"/>
  <c r="F572" i="3" a="1"/>
  <c r="F572" i="3" s="1"/>
  <c r="F573" i="3" a="1"/>
  <c r="F573" i="3" s="1"/>
  <c r="F574" i="3" a="1"/>
  <c r="F574" i="3" s="1"/>
  <c r="F575" i="3" a="1"/>
  <c r="F575" i="3" s="1"/>
  <c r="F576" i="3" a="1"/>
  <c r="F576" i="3" s="1"/>
  <c r="F577" i="3" a="1"/>
  <c r="F577" i="3" s="1"/>
  <c r="F578" i="3" a="1"/>
  <c r="F578" i="3" s="1"/>
  <c r="F579" i="3" a="1"/>
  <c r="F579" i="3" s="1"/>
  <c r="F580" i="3" a="1"/>
  <c r="F580" i="3" s="1"/>
  <c r="F581" i="3" a="1"/>
  <c r="F581" i="3" s="1"/>
  <c r="F582" i="3" a="1"/>
  <c r="F582" i="3" s="1"/>
  <c r="F583" i="3" a="1"/>
  <c r="F583" i="3" s="1"/>
  <c r="F584" i="3" a="1"/>
  <c r="F584" i="3" s="1"/>
  <c r="F585" i="3" a="1"/>
  <c r="F585" i="3" s="1"/>
  <c r="F586" i="3" a="1"/>
  <c r="F586" i="3" s="1"/>
  <c r="F587" i="3" a="1"/>
  <c r="F587" i="3" s="1"/>
  <c r="F588" i="3" a="1"/>
  <c r="F588" i="3" s="1"/>
  <c r="F589" i="3" a="1"/>
  <c r="F589" i="3" s="1"/>
  <c r="F590" i="3" a="1"/>
  <c r="F590" i="3" s="1"/>
  <c r="F591" i="3" a="1"/>
  <c r="F591" i="3" s="1"/>
  <c r="F592" i="3" a="1"/>
  <c r="F592" i="3" s="1"/>
  <c r="F593" i="3" a="1"/>
  <c r="F593" i="3" s="1"/>
  <c r="F594" i="3" a="1"/>
  <c r="F594" i="3" s="1"/>
  <c r="F595" i="3" a="1"/>
  <c r="F595" i="3" s="1"/>
  <c r="F596" i="3" a="1"/>
  <c r="F596" i="3" s="1"/>
  <c r="F597" i="3" a="1"/>
  <c r="F597" i="3" s="1"/>
  <c r="F598" i="3" a="1"/>
  <c r="F598" i="3" s="1"/>
  <c r="F599" i="3" a="1"/>
  <c r="F599" i="3" s="1"/>
  <c r="F600" i="3" a="1"/>
  <c r="F600" i="3" s="1"/>
  <c r="F601" i="3" a="1"/>
  <c r="F601" i="3" s="1"/>
  <c r="F602" i="3" a="1"/>
  <c r="F602" i="3" s="1"/>
  <c r="F603" i="3" a="1"/>
  <c r="F603" i="3" s="1"/>
  <c r="F604" i="3" a="1"/>
  <c r="F604" i="3" s="1"/>
  <c r="F605" i="3" a="1"/>
  <c r="F605" i="3" s="1"/>
  <c r="F606" i="3" a="1"/>
  <c r="F606" i="3" s="1"/>
  <c r="F607" i="3" a="1"/>
  <c r="F607" i="3" s="1"/>
  <c r="F608" i="3" a="1"/>
  <c r="F608" i="3" s="1"/>
  <c r="F609" i="3" a="1"/>
  <c r="F609" i="3" s="1"/>
  <c r="F610" i="3" a="1"/>
  <c r="F610" i="3" s="1"/>
  <c r="F611" i="3" a="1"/>
  <c r="F611" i="3" s="1"/>
  <c r="F612" i="3" a="1"/>
  <c r="F612" i="3" s="1"/>
  <c r="F613" i="3" a="1"/>
  <c r="F613" i="3" s="1"/>
  <c r="F614" i="3" a="1"/>
  <c r="F614" i="3" s="1"/>
  <c r="F615" i="3" a="1"/>
  <c r="F615" i="3" s="1"/>
  <c r="F616" i="3" a="1"/>
  <c r="F616" i="3" s="1"/>
  <c r="F617" i="3" a="1"/>
  <c r="F617" i="3" s="1"/>
  <c r="F2" i="3" a="1"/>
  <c r="F2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2" i="3"/>
  <c r="H3" i="3" a="1"/>
  <c r="H3" i="3" s="1"/>
  <c r="I3" i="3" s="1"/>
  <c r="H4" i="3" a="1"/>
  <c r="H4" i="3" s="1"/>
  <c r="I4" i="3" s="1"/>
  <c r="H5" i="3" a="1"/>
  <c r="H5" i="3" s="1"/>
  <c r="I5" i="3" s="1"/>
  <c r="H6" i="3" a="1"/>
  <c r="H6" i="3" s="1"/>
  <c r="I6" i="3" s="1"/>
  <c r="H7" i="3" a="1"/>
  <c r="H7" i="3"/>
  <c r="I7" i="3" s="1"/>
  <c r="H8" i="3" a="1"/>
  <c r="H8" i="3" s="1"/>
  <c r="I8" i="3" s="1"/>
  <c r="H9" i="3" a="1"/>
  <c r="H9" i="3" s="1"/>
  <c r="I9" i="3" s="1"/>
  <c r="H10" i="3" a="1"/>
  <c r="H10" i="3" s="1"/>
  <c r="I10" i="3" s="1"/>
  <c r="H11" i="3" a="1"/>
  <c r="H11" i="3" s="1"/>
  <c r="I11" i="3" s="1"/>
  <c r="H12" i="3" a="1"/>
  <c r="H12" i="3" s="1"/>
  <c r="I12" i="3" s="1"/>
  <c r="H13" i="3" a="1"/>
  <c r="H13" i="3" s="1"/>
  <c r="I13" i="3" s="1"/>
  <c r="H14" i="3" a="1"/>
  <c r="H14" i="3" s="1"/>
  <c r="I14" i="3" s="1"/>
  <c r="H15" i="3" a="1"/>
  <c r="H15" i="3" s="1"/>
  <c r="I15" i="3" s="1"/>
  <c r="H16" i="3" a="1"/>
  <c r="H16" i="3" s="1"/>
  <c r="I16" i="3" s="1"/>
  <c r="H17" i="3" a="1"/>
  <c r="H17" i="3" s="1"/>
  <c r="I17" i="3" s="1"/>
  <c r="H18" i="3" a="1"/>
  <c r="H18" i="3" s="1"/>
  <c r="I18" i="3" s="1"/>
  <c r="H19" i="3" a="1"/>
  <c r="H19" i="3" s="1"/>
  <c r="I19" i="3" s="1"/>
  <c r="H20" i="3" a="1"/>
  <c r="H20" i="3" s="1"/>
  <c r="I20" i="3" s="1"/>
  <c r="H21" i="3" a="1"/>
  <c r="H21" i="3" s="1"/>
  <c r="I21" i="3" s="1"/>
  <c r="H22" i="3" a="1"/>
  <c r="H22" i="3" s="1"/>
  <c r="I22" i="3" s="1"/>
  <c r="H23" i="3" a="1"/>
  <c r="H23" i="3" s="1"/>
  <c r="I23" i="3" s="1"/>
  <c r="H24" i="3" a="1"/>
  <c r="H24" i="3" s="1"/>
  <c r="I24" i="3" s="1"/>
  <c r="H25" i="3" a="1"/>
  <c r="H25" i="3" s="1"/>
  <c r="I25" i="3" s="1"/>
  <c r="H26" i="3" a="1"/>
  <c r="H26" i="3" s="1"/>
  <c r="I26" i="3" s="1"/>
  <c r="H27" i="3" a="1"/>
  <c r="H27" i="3" s="1"/>
  <c r="I27" i="3" s="1"/>
  <c r="H28" i="3" a="1"/>
  <c r="H28" i="3" s="1"/>
  <c r="I28" i="3" s="1"/>
  <c r="H29" i="3" a="1"/>
  <c r="H29" i="3" s="1"/>
  <c r="I29" i="3" s="1"/>
  <c r="H30" i="3" a="1"/>
  <c r="H30" i="3" s="1"/>
  <c r="I30" i="3" s="1"/>
  <c r="H31" i="3" a="1"/>
  <c r="H31" i="3" s="1"/>
  <c r="I31" i="3" s="1"/>
  <c r="H32" i="3" a="1"/>
  <c r="H32" i="3" s="1"/>
  <c r="I32" i="3" s="1"/>
  <c r="H33" i="3" a="1"/>
  <c r="H33" i="3" s="1"/>
  <c r="I33" i="3" s="1"/>
  <c r="H34" i="3" a="1"/>
  <c r="H34" i="3" s="1"/>
  <c r="I34" i="3" s="1"/>
  <c r="H35" i="3" a="1"/>
  <c r="H35" i="3" s="1"/>
  <c r="I35" i="3" s="1"/>
  <c r="H36" i="3" a="1"/>
  <c r="H36" i="3" s="1"/>
  <c r="I36" i="3" s="1"/>
  <c r="H37" i="3" a="1"/>
  <c r="H37" i="3" s="1"/>
  <c r="I37" i="3" s="1"/>
  <c r="H38" i="3" a="1"/>
  <c r="H38" i="3" s="1"/>
  <c r="I38" i="3" s="1"/>
  <c r="H39" i="3" a="1"/>
  <c r="H39" i="3" s="1"/>
  <c r="I39" i="3" s="1"/>
  <c r="H40" i="3" a="1"/>
  <c r="H40" i="3" s="1"/>
  <c r="I40" i="3" s="1"/>
  <c r="H41" i="3" a="1"/>
  <c r="H41" i="3" s="1"/>
  <c r="I41" i="3" s="1"/>
  <c r="H42" i="3" a="1"/>
  <c r="H42" i="3" s="1"/>
  <c r="I42" i="3" s="1"/>
  <c r="H43" i="3" a="1"/>
  <c r="H43" i="3" s="1"/>
  <c r="I43" i="3" s="1"/>
  <c r="H44" i="3" a="1"/>
  <c r="H44" i="3" s="1"/>
  <c r="I44" i="3" s="1"/>
  <c r="H45" i="3" a="1"/>
  <c r="H45" i="3" s="1"/>
  <c r="I45" i="3" s="1"/>
  <c r="H46" i="3" a="1"/>
  <c r="H46" i="3" s="1"/>
  <c r="I46" i="3" s="1"/>
  <c r="H47" i="3" a="1"/>
  <c r="H47" i="3" s="1"/>
  <c r="I47" i="3" s="1"/>
  <c r="H48" i="3" a="1"/>
  <c r="H48" i="3" s="1"/>
  <c r="I48" i="3" s="1"/>
  <c r="H49" i="3" a="1"/>
  <c r="H49" i="3" s="1"/>
  <c r="I49" i="3" s="1"/>
  <c r="H50" i="3" a="1"/>
  <c r="H50" i="3" s="1"/>
  <c r="I50" i="3" s="1"/>
  <c r="H51" i="3" a="1"/>
  <c r="H51" i="3" s="1"/>
  <c r="I51" i="3" s="1"/>
  <c r="H52" i="3" a="1"/>
  <c r="H52" i="3" s="1"/>
  <c r="I52" i="3" s="1"/>
  <c r="H53" i="3" a="1"/>
  <c r="H53" i="3" s="1"/>
  <c r="I53" i="3" s="1"/>
  <c r="H54" i="3" a="1"/>
  <c r="H54" i="3" s="1"/>
  <c r="I54" i="3" s="1"/>
  <c r="H55" i="3" a="1"/>
  <c r="H55" i="3" s="1"/>
  <c r="I55" i="3" s="1"/>
  <c r="H56" i="3" a="1"/>
  <c r="H56" i="3" s="1"/>
  <c r="I56" i="3" s="1"/>
  <c r="L56" i="3" s="1"/>
  <c r="H57" i="3" a="1"/>
  <c r="H57" i="3"/>
  <c r="I57" i="3" s="1"/>
  <c r="H58" i="3" a="1"/>
  <c r="H58" i="3" s="1"/>
  <c r="I58" i="3" s="1"/>
  <c r="H59" i="3" a="1"/>
  <c r="H59" i="3" s="1"/>
  <c r="I59" i="3" s="1"/>
  <c r="H60" i="3" a="1"/>
  <c r="H60" i="3" s="1"/>
  <c r="I60" i="3" s="1"/>
  <c r="H61" i="3" a="1"/>
  <c r="H61" i="3" s="1"/>
  <c r="I61" i="3" s="1"/>
  <c r="H62" i="3" a="1"/>
  <c r="H62" i="3" s="1"/>
  <c r="I62" i="3" s="1"/>
  <c r="H63" i="3" a="1"/>
  <c r="H63" i="3" s="1"/>
  <c r="I63" i="3" s="1"/>
  <c r="H64" i="3" a="1"/>
  <c r="H64" i="3" s="1"/>
  <c r="I64" i="3" s="1"/>
  <c r="H65" i="3" a="1"/>
  <c r="H65" i="3" s="1"/>
  <c r="I65" i="3" s="1"/>
  <c r="H66" i="3" a="1"/>
  <c r="H66" i="3" s="1"/>
  <c r="I66" i="3" s="1"/>
  <c r="H67" i="3" a="1"/>
  <c r="H67" i="3" s="1"/>
  <c r="I67" i="3" s="1"/>
  <c r="H68" i="3" a="1"/>
  <c r="H68" i="3" s="1"/>
  <c r="I68" i="3" s="1"/>
  <c r="H69" i="3" a="1"/>
  <c r="H69" i="3" s="1"/>
  <c r="I69" i="3" s="1"/>
  <c r="H70" i="3" a="1"/>
  <c r="H70" i="3" s="1"/>
  <c r="I70" i="3" s="1"/>
  <c r="H71" i="3" a="1"/>
  <c r="H71" i="3" s="1"/>
  <c r="I71" i="3" s="1"/>
  <c r="H72" i="3" a="1"/>
  <c r="H72" i="3" s="1"/>
  <c r="I72" i="3" s="1"/>
  <c r="H73" i="3" a="1"/>
  <c r="H73" i="3" s="1"/>
  <c r="I73" i="3" s="1"/>
  <c r="H74" i="3" a="1"/>
  <c r="H74" i="3" s="1"/>
  <c r="I74" i="3" s="1"/>
  <c r="H75" i="3" a="1"/>
  <c r="H75" i="3" s="1"/>
  <c r="I75" i="3" s="1"/>
  <c r="H76" i="3" a="1"/>
  <c r="H76" i="3" s="1"/>
  <c r="I76" i="3" s="1"/>
  <c r="H77" i="3" a="1"/>
  <c r="H77" i="3" s="1"/>
  <c r="I77" i="3" s="1"/>
  <c r="H78" i="3" a="1"/>
  <c r="H78" i="3" s="1"/>
  <c r="I78" i="3" s="1"/>
  <c r="H79" i="3" a="1"/>
  <c r="H79" i="3" s="1"/>
  <c r="I79" i="3" s="1"/>
  <c r="H80" i="3" a="1"/>
  <c r="H80" i="3" s="1"/>
  <c r="I80" i="3" s="1"/>
  <c r="H81" i="3" a="1"/>
  <c r="H81" i="3" s="1"/>
  <c r="I81" i="3" s="1"/>
  <c r="H82" i="3" a="1"/>
  <c r="H82" i="3" s="1"/>
  <c r="I82" i="3" s="1"/>
  <c r="H83" i="3" a="1"/>
  <c r="H83" i="3" s="1"/>
  <c r="I83" i="3" s="1"/>
  <c r="H84" i="3" a="1"/>
  <c r="H84" i="3" s="1"/>
  <c r="I84" i="3" s="1"/>
  <c r="H85" i="3" a="1"/>
  <c r="H85" i="3" s="1"/>
  <c r="I85" i="3" s="1"/>
  <c r="H86" i="3" a="1"/>
  <c r="H86" i="3" s="1"/>
  <c r="I86" i="3" s="1"/>
  <c r="H87" i="3" a="1"/>
  <c r="H87" i="3" s="1"/>
  <c r="I87" i="3" s="1"/>
  <c r="H88" i="3" a="1"/>
  <c r="H88" i="3" s="1"/>
  <c r="I88" i="3" s="1"/>
  <c r="H89" i="3" a="1"/>
  <c r="H89" i="3" s="1"/>
  <c r="I89" i="3" s="1"/>
  <c r="H90" i="3" a="1"/>
  <c r="H90" i="3" s="1"/>
  <c r="I90" i="3" s="1"/>
  <c r="H91" i="3" a="1"/>
  <c r="H91" i="3" s="1"/>
  <c r="I91" i="3" s="1"/>
  <c r="H92" i="3" a="1"/>
  <c r="H92" i="3" s="1"/>
  <c r="I92" i="3" s="1"/>
  <c r="H93" i="3" a="1"/>
  <c r="H93" i="3" s="1"/>
  <c r="I93" i="3" s="1"/>
  <c r="H94" i="3" a="1"/>
  <c r="H94" i="3" s="1"/>
  <c r="I94" i="3" s="1"/>
  <c r="H95" i="3" a="1"/>
  <c r="H95" i="3" s="1"/>
  <c r="I95" i="3" s="1"/>
  <c r="H96" i="3" a="1"/>
  <c r="H96" i="3" s="1"/>
  <c r="I96" i="3" s="1"/>
  <c r="H97" i="3" a="1"/>
  <c r="H97" i="3" s="1"/>
  <c r="I97" i="3" s="1"/>
  <c r="H98" i="3" a="1"/>
  <c r="H98" i="3" s="1"/>
  <c r="I98" i="3" s="1"/>
  <c r="H99" i="3" a="1"/>
  <c r="H99" i="3" s="1"/>
  <c r="I99" i="3" s="1"/>
  <c r="H100" i="3" a="1"/>
  <c r="H100" i="3" s="1"/>
  <c r="I100" i="3" s="1"/>
  <c r="H101" i="3" a="1"/>
  <c r="H101" i="3" s="1"/>
  <c r="I101" i="3" s="1"/>
  <c r="H102" i="3" a="1"/>
  <c r="H102" i="3" s="1"/>
  <c r="I102" i="3" s="1"/>
  <c r="H103" i="3" a="1"/>
  <c r="H103" i="3" s="1"/>
  <c r="I103" i="3" s="1"/>
  <c r="H104" i="3" a="1"/>
  <c r="H104" i="3" s="1"/>
  <c r="I104" i="3" s="1"/>
  <c r="H105" i="3" a="1"/>
  <c r="H105" i="3" s="1"/>
  <c r="I105" i="3" s="1"/>
  <c r="H106" i="3" a="1"/>
  <c r="H106" i="3" s="1"/>
  <c r="I106" i="3" s="1"/>
  <c r="H107" i="3" a="1"/>
  <c r="H107" i="3" s="1"/>
  <c r="I107" i="3" s="1"/>
  <c r="H108" i="3" a="1"/>
  <c r="H108" i="3" s="1"/>
  <c r="I108" i="3" s="1"/>
  <c r="H109" i="3" a="1"/>
  <c r="H109" i="3" s="1"/>
  <c r="I109" i="3" s="1"/>
  <c r="H110" i="3" a="1"/>
  <c r="H110" i="3" s="1"/>
  <c r="I110" i="3" s="1"/>
  <c r="H111" i="3" a="1"/>
  <c r="H111" i="3" s="1"/>
  <c r="I111" i="3" s="1"/>
  <c r="H112" i="3" a="1"/>
  <c r="H112" i="3" s="1"/>
  <c r="I112" i="3" s="1"/>
  <c r="H113" i="3" a="1"/>
  <c r="H113" i="3" s="1"/>
  <c r="I113" i="3" s="1"/>
  <c r="H114" i="3" a="1"/>
  <c r="H114" i="3" s="1"/>
  <c r="I114" i="3" s="1"/>
  <c r="H115" i="3" a="1"/>
  <c r="H115" i="3" s="1"/>
  <c r="I115" i="3" s="1"/>
  <c r="H116" i="3" a="1"/>
  <c r="H116" i="3" s="1"/>
  <c r="I116" i="3" s="1"/>
  <c r="H117" i="3" a="1"/>
  <c r="H117" i="3" s="1"/>
  <c r="I117" i="3" s="1"/>
  <c r="H118" i="3" a="1"/>
  <c r="H118" i="3" s="1"/>
  <c r="I118" i="3" s="1"/>
  <c r="H119" i="3" a="1"/>
  <c r="H119" i="3" s="1"/>
  <c r="I119" i="3" s="1"/>
  <c r="H120" i="3" a="1"/>
  <c r="H120" i="3" s="1"/>
  <c r="I120" i="3" s="1"/>
  <c r="H121" i="3" a="1"/>
  <c r="H121" i="3" s="1"/>
  <c r="I121" i="3" s="1"/>
  <c r="H122" i="3" a="1"/>
  <c r="H122" i="3" s="1"/>
  <c r="I122" i="3" s="1"/>
  <c r="H123" i="3" a="1"/>
  <c r="H123" i="3" s="1"/>
  <c r="I123" i="3" s="1"/>
  <c r="H124" i="3" a="1"/>
  <c r="H124" i="3" s="1"/>
  <c r="I124" i="3" s="1"/>
  <c r="H125" i="3" a="1"/>
  <c r="H125" i="3" s="1"/>
  <c r="I125" i="3" s="1"/>
  <c r="H126" i="3" a="1"/>
  <c r="H126" i="3" s="1"/>
  <c r="I126" i="3" s="1"/>
  <c r="H127" i="3" a="1"/>
  <c r="H127" i="3" s="1"/>
  <c r="I127" i="3" s="1"/>
  <c r="H128" i="3" a="1"/>
  <c r="H128" i="3" s="1"/>
  <c r="I128" i="3" s="1"/>
  <c r="H129" i="3" a="1"/>
  <c r="H129" i="3" s="1"/>
  <c r="I129" i="3" s="1"/>
  <c r="H130" i="3" a="1"/>
  <c r="H130" i="3" s="1"/>
  <c r="I130" i="3" s="1"/>
  <c r="H131" i="3" a="1"/>
  <c r="H131" i="3" s="1"/>
  <c r="I131" i="3" s="1"/>
  <c r="H132" i="3" a="1"/>
  <c r="H132" i="3" s="1"/>
  <c r="I132" i="3" s="1"/>
  <c r="H133" i="3" a="1"/>
  <c r="H133" i="3" s="1"/>
  <c r="I133" i="3" s="1"/>
  <c r="H134" i="3" a="1"/>
  <c r="H134" i="3" s="1"/>
  <c r="I134" i="3" s="1"/>
  <c r="H135" i="3" a="1"/>
  <c r="H135" i="3" s="1"/>
  <c r="I135" i="3" s="1"/>
  <c r="H136" i="3" a="1"/>
  <c r="H136" i="3" s="1"/>
  <c r="I136" i="3" s="1"/>
  <c r="H137" i="3" a="1"/>
  <c r="H137" i="3" s="1"/>
  <c r="I137" i="3" s="1"/>
  <c r="H138" i="3" a="1"/>
  <c r="H138" i="3" s="1"/>
  <c r="I138" i="3" s="1"/>
  <c r="H139" i="3" a="1"/>
  <c r="H139" i="3" s="1"/>
  <c r="I139" i="3" s="1"/>
  <c r="H140" i="3" a="1"/>
  <c r="H140" i="3" s="1"/>
  <c r="I140" i="3" s="1"/>
  <c r="H141" i="3" a="1"/>
  <c r="H141" i="3" s="1"/>
  <c r="I141" i="3" s="1"/>
  <c r="H142" i="3" a="1"/>
  <c r="H142" i="3" s="1"/>
  <c r="I142" i="3" s="1"/>
  <c r="H143" i="3" a="1"/>
  <c r="H143" i="3" s="1"/>
  <c r="I143" i="3" s="1"/>
  <c r="H144" i="3" a="1"/>
  <c r="H144" i="3" s="1"/>
  <c r="I144" i="3" s="1"/>
  <c r="H145" i="3" a="1"/>
  <c r="H145" i="3" s="1"/>
  <c r="I145" i="3" s="1"/>
  <c r="H146" i="3" a="1"/>
  <c r="H146" i="3" s="1"/>
  <c r="I146" i="3" s="1"/>
  <c r="H147" i="3" a="1"/>
  <c r="H147" i="3" s="1"/>
  <c r="I147" i="3" s="1"/>
  <c r="H148" i="3" a="1"/>
  <c r="H148" i="3" s="1"/>
  <c r="I148" i="3" s="1"/>
  <c r="H149" i="3" a="1"/>
  <c r="H149" i="3" s="1"/>
  <c r="I149" i="3" s="1"/>
  <c r="H150" i="3" a="1"/>
  <c r="H150" i="3" s="1"/>
  <c r="I150" i="3" s="1"/>
  <c r="H151" i="3" a="1"/>
  <c r="H151" i="3" s="1"/>
  <c r="I151" i="3" s="1"/>
  <c r="H152" i="3" a="1"/>
  <c r="H152" i="3" s="1"/>
  <c r="I152" i="3" s="1"/>
  <c r="H153" i="3" a="1"/>
  <c r="H153" i="3" s="1"/>
  <c r="I153" i="3" s="1"/>
  <c r="H154" i="3" a="1"/>
  <c r="H154" i="3" s="1"/>
  <c r="I154" i="3" s="1"/>
  <c r="H155" i="3" a="1"/>
  <c r="H155" i="3" s="1"/>
  <c r="I155" i="3" s="1"/>
  <c r="H156" i="3" a="1"/>
  <c r="H156" i="3" s="1"/>
  <c r="I156" i="3" s="1"/>
  <c r="H157" i="3" a="1"/>
  <c r="H157" i="3" s="1"/>
  <c r="I157" i="3" s="1"/>
  <c r="H158" i="3" a="1"/>
  <c r="H158" i="3" s="1"/>
  <c r="I158" i="3" s="1"/>
  <c r="H159" i="3" a="1"/>
  <c r="H159" i="3" s="1"/>
  <c r="I159" i="3" s="1"/>
  <c r="H160" i="3" a="1"/>
  <c r="H160" i="3" s="1"/>
  <c r="I160" i="3" s="1"/>
  <c r="H161" i="3" a="1"/>
  <c r="H161" i="3" s="1"/>
  <c r="I161" i="3" s="1"/>
  <c r="H162" i="3" a="1"/>
  <c r="H162" i="3" s="1"/>
  <c r="I162" i="3" s="1"/>
  <c r="H163" i="3" a="1"/>
  <c r="H163" i="3" s="1"/>
  <c r="I163" i="3" s="1"/>
  <c r="H164" i="3" a="1"/>
  <c r="H164" i="3" s="1"/>
  <c r="I164" i="3" s="1"/>
  <c r="H165" i="3" a="1"/>
  <c r="H165" i="3" s="1"/>
  <c r="I165" i="3" s="1"/>
  <c r="H166" i="3" a="1"/>
  <c r="H166" i="3" s="1"/>
  <c r="I166" i="3" s="1"/>
  <c r="H167" i="3" a="1"/>
  <c r="H167" i="3" s="1"/>
  <c r="I167" i="3" s="1"/>
  <c r="H168" i="3" a="1"/>
  <c r="H168" i="3" s="1"/>
  <c r="I168" i="3" s="1"/>
  <c r="H169" i="3" a="1"/>
  <c r="H169" i="3" s="1"/>
  <c r="I169" i="3" s="1"/>
  <c r="H170" i="3" a="1"/>
  <c r="H170" i="3" s="1"/>
  <c r="I170" i="3" s="1"/>
  <c r="H171" i="3" a="1"/>
  <c r="H171" i="3" s="1"/>
  <c r="I171" i="3" s="1"/>
  <c r="H172" i="3" a="1"/>
  <c r="H172" i="3" s="1"/>
  <c r="I172" i="3" s="1"/>
  <c r="H173" i="3" a="1"/>
  <c r="H173" i="3" s="1"/>
  <c r="I173" i="3" s="1"/>
  <c r="H174" i="3" a="1"/>
  <c r="H174" i="3" s="1"/>
  <c r="I174" i="3" s="1"/>
  <c r="H175" i="3" a="1"/>
  <c r="H175" i="3" s="1"/>
  <c r="I175" i="3" s="1"/>
  <c r="H176" i="3" a="1"/>
  <c r="H176" i="3" s="1"/>
  <c r="I176" i="3" s="1"/>
  <c r="H177" i="3" a="1"/>
  <c r="H177" i="3" s="1"/>
  <c r="I177" i="3" s="1"/>
  <c r="H178" i="3" a="1"/>
  <c r="H178" i="3" s="1"/>
  <c r="I178" i="3" s="1"/>
  <c r="H179" i="3" a="1"/>
  <c r="H179" i="3" s="1"/>
  <c r="I179" i="3" s="1"/>
  <c r="H180" i="3" a="1"/>
  <c r="H180" i="3"/>
  <c r="I180" i="3" s="1"/>
  <c r="H181" i="3" a="1"/>
  <c r="H181" i="3" s="1"/>
  <c r="I181" i="3" s="1"/>
  <c r="H182" i="3" a="1"/>
  <c r="H182" i="3" s="1"/>
  <c r="I182" i="3" s="1"/>
  <c r="H183" i="3" a="1"/>
  <c r="H183" i="3" s="1"/>
  <c r="I183" i="3" s="1"/>
  <c r="H184" i="3" a="1"/>
  <c r="H184" i="3" s="1"/>
  <c r="I184" i="3" s="1"/>
  <c r="H185" i="3" a="1"/>
  <c r="H185" i="3" s="1"/>
  <c r="I185" i="3" s="1"/>
  <c r="H186" i="3" a="1"/>
  <c r="H186" i="3" s="1"/>
  <c r="I186" i="3" s="1"/>
  <c r="H187" i="3" a="1"/>
  <c r="H187" i="3" s="1"/>
  <c r="I187" i="3" s="1"/>
  <c r="H188" i="3" a="1"/>
  <c r="H188" i="3" s="1"/>
  <c r="I188" i="3" s="1"/>
  <c r="H189" i="3" a="1"/>
  <c r="H189" i="3" s="1"/>
  <c r="I189" i="3" s="1"/>
  <c r="H190" i="3" a="1"/>
  <c r="H190" i="3" s="1"/>
  <c r="I190" i="3" s="1"/>
  <c r="H191" i="3" a="1"/>
  <c r="H191" i="3" s="1"/>
  <c r="I191" i="3" s="1"/>
  <c r="H192" i="3" a="1"/>
  <c r="H192" i="3" s="1"/>
  <c r="I192" i="3" s="1"/>
  <c r="H193" i="3" a="1"/>
  <c r="H193" i="3" s="1"/>
  <c r="I193" i="3" s="1"/>
  <c r="H194" i="3" a="1"/>
  <c r="H194" i="3" s="1"/>
  <c r="I194" i="3" s="1"/>
  <c r="H195" i="3" a="1"/>
  <c r="H195" i="3" s="1"/>
  <c r="I195" i="3" s="1"/>
  <c r="H196" i="3" a="1"/>
  <c r="H196" i="3" s="1"/>
  <c r="I196" i="3" s="1"/>
  <c r="H197" i="3" a="1"/>
  <c r="H197" i="3" s="1"/>
  <c r="I197" i="3" s="1"/>
  <c r="H198" i="3" a="1"/>
  <c r="H198" i="3" s="1"/>
  <c r="I198" i="3" s="1"/>
  <c r="H199" i="3" a="1"/>
  <c r="H199" i="3" s="1"/>
  <c r="I199" i="3" s="1"/>
  <c r="H200" i="3" a="1"/>
  <c r="H200" i="3" s="1"/>
  <c r="I200" i="3" s="1"/>
  <c r="H201" i="3" a="1"/>
  <c r="H201" i="3" s="1"/>
  <c r="I201" i="3" s="1"/>
  <c r="H202" i="3" a="1"/>
  <c r="H202" i="3" s="1"/>
  <c r="I202" i="3" s="1"/>
  <c r="H203" i="3" a="1"/>
  <c r="H203" i="3" s="1"/>
  <c r="I203" i="3" s="1"/>
  <c r="H204" i="3" a="1"/>
  <c r="H204" i="3" s="1"/>
  <c r="I204" i="3" s="1"/>
  <c r="H205" i="3" a="1"/>
  <c r="H205" i="3" s="1"/>
  <c r="I205" i="3" s="1"/>
  <c r="H206" i="3" a="1"/>
  <c r="H206" i="3" s="1"/>
  <c r="I206" i="3" s="1"/>
  <c r="H207" i="3" a="1"/>
  <c r="H207" i="3" s="1"/>
  <c r="I207" i="3" s="1"/>
  <c r="H208" i="3" a="1"/>
  <c r="H208" i="3" s="1"/>
  <c r="I208" i="3" s="1"/>
  <c r="H209" i="3" a="1"/>
  <c r="H209" i="3" s="1"/>
  <c r="I209" i="3" s="1"/>
  <c r="H210" i="3" a="1"/>
  <c r="H210" i="3" s="1"/>
  <c r="I210" i="3" s="1"/>
  <c r="H211" i="3" a="1"/>
  <c r="H211" i="3" s="1"/>
  <c r="I211" i="3" s="1"/>
  <c r="H212" i="3" a="1"/>
  <c r="H212" i="3" s="1"/>
  <c r="I212" i="3" s="1"/>
  <c r="H213" i="3" a="1"/>
  <c r="H213" i="3" s="1"/>
  <c r="I213" i="3" s="1"/>
  <c r="H214" i="3" a="1"/>
  <c r="H214" i="3" s="1"/>
  <c r="I214" i="3" s="1"/>
  <c r="H215" i="3" a="1"/>
  <c r="H215" i="3" s="1"/>
  <c r="I215" i="3" s="1"/>
  <c r="H216" i="3" a="1"/>
  <c r="H216" i="3" s="1"/>
  <c r="I216" i="3" s="1"/>
  <c r="H217" i="3" a="1"/>
  <c r="H217" i="3" s="1"/>
  <c r="I217" i="3" s="1"/>
  <c r="H218" i="3" a="1"/>
  <c r="H218" i="3" s="1"/>
  <c r="I218" i="3" s="1"/>
  <c r="H219" i="3" a="1"/>
  <c r="H219" i="3" s="1"/>
  <c r="I219" i="3" s="1"/>
  <c r="H220" i="3" a="1"/>
  <c r="H220" i="3" s="1"/>
  <c r="I220" i="3" s="1"/>
  <c r="H221" i="3" a="1"/>
  <c r="H221" i="3" s="1"/>
  <c r="I221" i="3" s="1"/>
  <c r="H222" i="3" a="1"/>
  <c r="H222" i="3" s="1"/>
  <c r="I222" i="3" s="1"/>
  <c r="H223" i="3" a="1"/>
  <c r="H223" i="3" s="1"/>
  <c r="I223" i="3" s="1"/>
  <c r="H224" i="3" a="1"/>
  <c r="H224" i="3" s="1"/>
  <c r="I224" i="3" s="1"/>
  <c r="H225" i="3" a="1"/>
  <c r="H225" i="3" s="1"/>
  <c r="I225" i="3" s="1"/>
  <c r="H226" i="3" a="1"/>
  <c r="H226" i="3" s="1"/>
  <c r="I226" i="3" s="1"/>
  <c r="H227" i="3" a="1"/>
  <c r="H227" i="3" s="1"/>
  <c r="I227" i="3" s="1"/>
  <c r="H228" i="3" a="1"/>
  <c r="H228" i="3" s="1"/>
  <c r="I228" i="3" s="1"/>
  <c r="H229" i="3" a="1"/>
  <c r="H229" i="3" s="1"/>
  <c r="I229" i="3" s="1"/>
  <c r="H230" i="3" a="1"/>
  <c r="H230" i="3" s="1"/>
  <c r="I230" i="3" s="1"/>
  <c r="H231" i="3" a="1"/>
  <c r="H231" i="3" s="1"/>
  <c r="I231" i="3" s="1"/>
  <c r="H232" i="3" a="1"/>
  <c r="H232" i="3" s="1"/>
  <c r="I232" i="3" s="1"/>
  <c r="H233" i="3" a="1"/>
  <c r="H233" i="3" s="1"/>
  <c r="I233" i="3" s="1"/>
  <c r="H234" i="3" a="1"/>
  <c r="H234" i="3" s="1"/>
  <c r="I234" i="3" s="1"/>
  <c r="H235" i="3" a="1"/>
  <c r="H235" i="3" s="1"/>
  <c r="I235" i="3" s="1"/>
  <c r="H236" i="3" a="1"/>
  <c r="H236" i="3" s="1"/>
  <c r="I236" i="3" s="1"/>
  <c r="H237" i="3" a="1"/>
  <c r="H237" i="3" s="1"/>
  <c r="I237" i="3" s="1"/>
  <c r="H238" i="3" a="1"/>
  <c r="H238" i="3" s="1"/>
  <c r="I238" i="3" s="1"/>
  <c r="H239" i="3" a="1"/>
  <c r="H239" i="3" s="1"/>
  <c r="I239" i="3" s="1"/>
  <c r="H240" i="3" a="1"/>
  <c r="H240" i="3" s="1"/>
  <c r="I240" i="3" s="1"/>
  <c r="H241" i="3" a="1"/>
  <c r="H241" i="3" s="1"/>
  <c r="I241" i="3" s="1"/>
  <c r="H242" i="3" a="1"/>
  <c r="H242" i="3" s="1"/>
  <c r="I242" i="3" s="1"/>
  <c r="H243" i="3" a="1"/>
  <c r="H243" i="3" s="1"/>
  <c r="I243" i="3" s="1"/>
  <c r="H244" i="3" a="1"/>
  <c r="H244" i="3" s="1"/>
  <c r="I244" i="3" s="1"/>
  <c r="H245" i="3" a="1"/>
  <c r="H245" i="3" s="1"/>
  <c r="I245" i="3" s="1"/>
  <c r="H246" i="3" a="1"/>
  <c r="H246" i="3" s="1"/>
  <c r="I246" i="3" s="1"/>
  <c r="H247" i="3" a="1"/>
  <c r="H247" i="3" s="1"/>
  <c r="I247" i="3" s="1"/>
  <c r="H248" i="3" a="1"/>
  <c r="H248" i="3" s="1"/>
  <c r="I248" i="3" s="1"/>
  <c r="H249" i="3" a="1"/>
  <c r="H249" i="3" s="1"/>
  <c r="I249" i="3" s="1"/>
  <c r="H250" i="3" a="1"/>
  <c r="H250" i="3" s="1"/>
  <c r="I250" i="3" s="1"/>
  <c r="H251" i="3" a="1"/>
  <c r="H251" i="3" s="1"/>
  <c r="I251" i="3" s="1"/>
  <c r="H252" i="3" a="1"/>
  <c r="H252" i="3" s="1"/>
  <c r="I252" i="3" s="1"/>
  <c r="H253" i="3" a="1"/>
  <c r="H253" i="3" s="1"/>
  <c r="I253" i="3" s="1"/>
  <c r="H254" i="3" a="1"/>
  <c r="H254" i="3" s="1"/>
  <c r="I254" i="3" s="1"/>
  <c r="H255" i="3" a="1"/>
  <c r="H255" i="3" s="1"/>
  <c r="I255" i="3" s="1"/>
  <c r="H256" i="3" a="1"/>
  <c r="H256" i="3" s="1"/>
  <c r="I256" i="3" s="1"/>
  <c r="H257" i="3" a="1"/>
  <c r="H257" i="3" s="1"/>
  <c r="I257" i="3" s="1"/>
  <c r="H258" i="3" a="1"/>
  <c r="H258" i="3" s="1"/>
  <c r="I258" i="3" s="1"/>
  <c r="H259" i="3" a="1"/>
  <c r="H259" i="3" s="1"/>
  <c r="I259" i="3" s="1"/>
  <c r="H260" i="3" a="1"/>
  <c r="H260" i="3" s="1"/>
  <c r="I260" i="3" s="1"/>
  <c r="H261" i="3" a="1"/>
  <c r="H261" i="3"/>
  <c r="I261" i="3" s="1"/>
  <c r="H262" i="3" a="1"/>
  <c r="H262" i="3" s="1"/>
  <c r="I262" i="3" s="1"/>
  <c r="H263" i="3" a="1"/>
  <c r="H263" i="3" s="1"/>
  <c r="I263" i="3" s="1"/>
  <c r="H264" i="3" a="1"/>
  <c r="H264" i="3" s="1"/>
  <c r="I264" i="3" s="1"/>
  <c r="H265" i="3" a="1"/>
  <c r="H265" i="3" s="1"/>
  <c r="I265" i="3" s="1"/>
  <c r="H266" i="3" a="1"/>
  <c r="H266" i="3" s="1"/>
  <c r="I266" i="3" s="1"/>
  <c r="H267" i="3" a="1"/>
  <c r="H267" i="3" s="1"/>
  <c r="I267" i="3" s="1"/>
  <c r="H268" i="3" a="1"/>
  <c r="H268" i="3" s="1"/>
  <c r="I268" i="3" s="1"/>
  <c r="H269" i="3" a="1"/>
  <c r="H269" i="3" s="1"/>
  <c r="I269" i="3" s="1"/>
  <c r="H270" i="3" a="1"/>
  <c r="H270" i="3" s="1"/>
  <c r="I270" i="3" s="1"/>
  <c r="H271" i="3" a="1"/>
  <c r="H271" i="3" s="1"/>
  <c r="I271" i="3" s="1"/>
  <c r="H272" i="3" a="1"/>
  <c r="H272" i="3" s="1"/>
  <c r="I272" i="3" s="1"/>
  <c r="H273" i="3" a="1"/>
  <c r="H273" i="3" s="1"/>
  <c r="I273" i="3" s="1"/>
  <c r="H274" i="3" a="1"/>
  <c r="H274" i="3" s="1"/>
  <c r="I274" i="3" s="1"/>
  <c r="H275" i="3" a="1"/>
  <c r="H275" i="3" s="1"/>
  <c r="I275" i="3" s="1"/>
  <c r="H276" i="3" a="1"/>
  <c r="H276" i="3" s="1"/>
  <c r="I276" i="3" s="1"/>
  <c r="H277" i="3" a="1"/>
  <c r="H277" i="3" s="1"/>
  <c r="I277" i="3" s="1"/>
  <c r="H278" i="3" a="1"/>
  <c r="H278" i="3" s="1"/>
  <c r="I278" i="3" s="1"/>
  <c r="H279" i="3" a="1"/>
  <c r="H279" i="3" s="1"/>
  <c r="I279" i="3" s="1"/>
  <c r="H280" i="3" a="1"/>
  <c r="H280" i="3" s="1"/>
  <c r="I280" i="3" s="1"/>
  <c r="H281" i="3" a="1"/>
  <c r="H281" i="3" s="1"/>
  <c r="I281" i="3" s="1"/>
  <c r="H282" i="3" a="1"/>
  <c r="H282" i="3" s="1"/>
  <c r="I282" i="3" s="1"/>
  <c r="H283" i="3" a="1"/>
  <c r="H283" i="3" s="1"/>
  <c r="I283" i="3" s="1"/>
  <c r="H284" i="3" a="1"/>
  <c r="H284" i="3" s="1"/>
  <c r="I284" i="3" s="1"/>
  <c r="H285" i="3" a="1"/>
  <c r="H285" i="3" s="1"/>
  <c r="I285" i="3" s="1"/>
  <c r="H286" i="3" a="1"/>
  <c r="H286" i="3" s="1"/>
  <c r="I286" i="3" s="1"/>
  <c r="H287" i="3" a="1"/>
  <c r="H287" i="3" s="1"/>
  <c r="I287" i="3" s="1"/>
  <c r="H288" i="3" a="1"/>
  <c r="H288" i="3" s="1"/>
  <c r="I288" i="3" s="1"/>
  <c r="H289" i="3" a="1"/>
  <c r="H289" i="3" s="1"/>
  <c r="I289" i="3" s="1"/>
  <c r="H290" i="3" a="1"/>
  <c r="H290" i="3" s="1"/>
  <c r="I290" i="3" s="1"/>
  <c r="H291" i="3" a="1"/>
  <c r="H291" i="3" s="1"/>
  <c r="I291" i="3" s="1"/>
  <c r="H292" i="3" a="1"/>
  <c r="H292" i="3" s="1"/>
  <c r="I292" i="3" s="1"/>
  <c r="H293" i="3" a="1"/>
  <c r="H293" i="3" s="1"/>
  <c r="I293" i="3" s="1"/>
  <c r="H294" i="3" a="1"/>
  <c r="H294" i="3" s="1"/>
  <c r="I294" i="3" s="1"/>
  <c r="H295" i="3" a="1"/>
  <c r="H295" i="3" s="1"/>
  <c r="I295" i="3" s="1"/>
  <c r="H296" i="3" a="1"/>
  <c r="H296" i="3" s="1"/>
  <c r="I296" i="3" s="1"/>
  <c r="H297" i="3" a="1"/>
  <c r="H297" i="3" s="1"/>
  <c r="I297" i="3" s="1"/>
  <c r="H298" i="3" a="1"/>
  <c r="H298" i="3" s="1"/>
  <c r="I298" i="3" s="1"/>
  <c r="H299" i="3" a="1"/>
  <c r="H299" i="3" s="1"/>
  <c r="I299" i="3" s="1"/>
  <c r="H300" i="3" a="1"/>
  <c r="H300" i="3" s="1"/>
  <c r="I300" i="3" s="1"/>
  <c r="H301" i="3" a="1"/>
  <c r="H301" i="3" s="1"/>
  <c r="I301" i="3" s="1"/>
  <c r="H302" i="3" a="1"/>
  <c r="H302" i="3" s="1"/>
  <c r="I302" i="3" s="1"/>
  <c r="H303" i="3" a="1"/>
  <c r="H303" i="3" s="1"/>
  <c r="I303" i="3" s="1"/>
  <c r="H304" i="3" a="1"/>
  <c r="H304" i="3" s="1"/>
  <c r="I304" i="3" s="1"/>
  <c r="H305" i="3" a="1"/>
  <c r="H305" i="3" s="1"/>
  <c r="I305" i="3" s="1"/>
  <c r="H306" i="3" a="1"/>
  <c r="H306" i="3" s="1"/>
  <c r="I306" i="3" s="1"/>
  <c r="H307" i="3" a="1"/>
  <c r="H307" i="3" s="1"/>
  <c r="I307" i="3" s="1"/>
  <c r="H308" i="3" a="1"/>
  <c r="H308" i="3" s="1"/>
  <c r="I308" i="3" s="1"/>
  <c r="H309" i="3" a="1"/>
  <c r="H309" i="3" s="1"/>
  <c r="I309" i="3" s="1"/>
  <c r="H310" i="3" a="1"/>
  <c r="H310" i="3" s="1"/>
  <c r="I310" i="3" s="1"/>
  <c r="H311" i="3" a="1"/>
  <c r="H311" i="3" s="1"/>
  <c r="I311" i="3" s="1"/>
  <c r="H312" i="3" a="1"/>
  <c r="H312" i="3" s="1"/>
  <c r="I312" i="3" s="1"/>
  <c r="H313" i="3" a="1"/>
  <c r="H313" i="3" s="1"/>
  <c r="I313" i="3" s="1"/>
  <c r="H314" i="3" a="1"/>
  <c r="H314" i="3" s="1"/>
  <c r="I314" i="3" s="1"/>
  <c r="H315" i="3" a="1"/>
  <c r="H315" i="3" s="1"/>
  <c r="I315" i="3" s="1"/>
  <c r="H316" i="3" a="1"/>
  <c r="H316" i="3" s="1"/>
  <c r="I316" i="3" s="1"/>
  <c r="H317" i="3" a="1"/>
  <c r="H317" i="3" s="1"/>
  <c r="I317" i="3" s="1"/>
  <c r="H318" i="3" a="1"/>
  <c r="H318" i="3" s="1"/>
  <c r="I318" i="3" s="1"/>
  <c r="H319" i="3" a="1"/>
  <c r="H319" i="3" s="1"/>
  <c r="I319" i="3" s="1"/>
  <c r="H320" i="3" a="1"/>
  <c r="H320" i="3" s="1"/>
  <c r="I320" i="3" s="1"/>
  <c r="H321" i="3" a="1"/>
  <c r="H321" i="3" s="1"/>
  <c r="I321" i="3" s="1"/>
  <c r="H322" i="3" a="1"/>
  <c r="H322" i="3" s="1"/>
  <c r="I322" i="3" s="1"/>
  <c r="H323" i="3" a="1"/>
  <c r="H323" i="3" s="1"/>
  <c r="I323" i="3" s="1"/>
  <c r="H324" i="3" a="1"/>
  <c r="H324" i="3" s="1"/>
  <c r="I324" i="3" s="1"/>
  <c r="H325" i="3" a="1"/>
  <c r="H325" i="3" s="1"/>
  <c r="I325" i="3" s="1"/>
  <c r="H326" i="3" a="1"/>
  <c r="H326" i="3" s="1"/>
  <c r="I326" i="3" s="1"/>
  <c r="H327" i="3" a="1"/>
  <c r="H327" i="3" s="1"/>
  <c r="I327" i="3" s="1"/>
  <c r="H328" i="3" a="1"/>
  <c r="H328" i="3" s="1"/>
  <c r="I328" i="3" s="1"/>
  <c r="H329" i="3" a="1"/>
  <c r="H329" i="3" s="1"/>
  <c r="I329" i="3" s="1"/>
  <c r="H330" i="3" a="1"/>
  <c r="H330" i="3"/>
  <c r="I330" i="3" s="1"/>
  <c r="H331" i="3" a="1"/>
  <c r="H331" i="3" s="1"/>
  <c r="I331" i="3" s="1"/>
  <c r="H332" i="3" a="1"/>
  <c r="H332" i="3" s="1"/>
  <c r="I332" i="3" s="1"/>
  <c r="H333" i="3" a="1"/>
  <c r="H333" i="3" s="1"/>
  <c r="I333" i="3" s="1"/>
  <c r="H334" i="3" a="1"/>
  <c r="H334" i="3" s="1"/>
  <c r="I334" i="3" s="1"/>
  <c r="H335" i="3" a="1"/>
  <c r="H335" i="3" s="1"/>
  <c r="I335" i="3" s="1"/>
  <c r="H336" i="3" a="1"/>
  <c r="H336" i="3" s="1"/>
  <c r="I336" i="3" s="1"/>
  <c r="H337" i="3" a="1"/>
  <c r="H337" i="3" s="1"/>
  <c r="I337" i="3" s="1"/>
  <c r="H338" i="3" a="1"/>
  <c r="H338" i="3" s="1"/>
  <c r="I338" i="3" s="1"/>
  <c r="H339" i="3" a="1"/>
  <c r="H339" i="3" s="1"/>
  <c r="I339" i="3" s="1"/>
  <c r="H340" i="3" a="1"/>
  <c r="H340" i="3" s="1"/>
  <c r="I340" i="3" s="1"/>
  <c r="H341" i="3" a="1"/>
  <c r="H341" i="3" s="1"/>
  <c r="I341" i="3" s="1"/>
  <c r="H342" i="3" a="1"/>
  <c r="H342" i="3" s="1"/>
  <c r="I342" i="3" s="1"/>
  <c r="H343" i="3" a="1"/>
  <c r="H343" i="3" s="1"/>
  <c r="I343" i="3" s="1"/>
  <c r="H344" i="3" a="1"/>
  <c r="H344" i="3" s="1"/>
  <c r="I344" i="3" s="1"/>
  <c r="H345" i="3" a="1"/>
  <c r="H345" i="3" s="1"/>
  <c r="I345" i="3" s="1"/>
  <c r="H346" i="3" a="1"/>
  <c r="H346" i="3" s="1"/>
  <c r="I346" i="3" s="1"/>
  <c r="H347" i="3" a="1"/>
  <c r="H347" i="3" s="1"/>
  <c r="I347" i="3" s="1"/>
  <c r="H348" i="3" a="1"/>
  <c r="H348" i="3" s="1"/>
  <c r="I348" i="3" s="1"/>
  <c r="H349" i="3" a="1"/>
  <c r="H349" i="3" s="1"/>
  <c r="I349" i="3" s="1"/>
  <c r="H350" i="3" a="1"/>
  <c r="H350" i="3" s="1"/>
  <c r="I350" i="3" s="1"/>
  <c r="H351" i="3" a="1"/>
  <c r="H351" i="3" s="1"/>
  <c r="I351" i="3" s="1"/>
  <c r="H352" i="3" a="1"/>
  <c r="H352" i="3" s="1"/>
  <c r="I352" i="3" s="1"/>
  <c r="H353" i="3" a="1"/>
  <c r="H353" i="3" s="1"/>
  <c r="I353" i="3" s="1"/>
  <c r="H354" i="3" a="1"/>
  <c r="H354" i="3" s="1"/>
  <c r="I354" i="3" s="1"/>
  <c r="H355" i="3" a="1"/>
  <c r="H355" i="3" s="1"/>
  <c r="I355" i="3" s="1"/>
  <c r="H356" i="3" a="1"/>
  <c r="H356" i="3" s="1"/>
  <c r="I356" i="3" s="1"/>
  <c r="H357" i="3" a="1"/>
  <c r="H357" i="3" s="1"/>
  <c r="I357" i="3" s="1"/>
  <c r="H358" i="3" a="1"/>
  <c r="H358" i="3" s="1"/>
  <c r="I358" i="3" s="1"/>
  <c r="H359" i="3" a="1"/>
  <c r="H359" i="3" s="1"/>
  <c r="I359" i="3" s="1"/>
  <c r="H360" i="3" a="1"/>
  <c r="H360" i="3" s="1"/>
  <c r="I360" i="3" s="1"/>
  <c r="H361" i="3" a="1"/>
  <c r="H361" i="3" s="1"/>
  <c r="I361" i="3" s="1"/>
  <c r="H362" i="3" a="1"/>
  <c r="H362" i="3" s="1"/>
  <c r="I362" i="3" s="1"/>
  <c r="H363" i="3" a="1"/>
  <c r="H363" i="3" s="1"/>
  <c r="I363" i="3" s="1"/>
  <c r="H364" i="3" a="1"/>
  <c r="H364" i="3" s="1"/>
  <c r="I364" i="3" s="1"/>
  <c r="H365" i="3" a="1"/>
  <c r="H365" i="3" s="1"/>
  <c r="I365" i="3" s="1"/>
  <c r="H366" i="3" a="1"/>
  <c r="H366" i="3" s="1"/>
  <c r="I366" i="3" s="1"/>
  <c r="H367" i="3" a="1"/>
  <c r="H367" i="3" s="1"/>
  <c r="I367" i="3" s="1"/>
  <c r="H368" i="3" a="1"/>
  <c r="H368" i="3" s="1"/>
  <c r="I368" i="3" s="1"/>
  <c r="H369" i="3" a="1"/>
  <c r="H369" i="3" s="1"/>
  <c r="I369" i="3" s="1"/>
  <c r="H370" i="3" a="1"/>
  <c r="H370" i="3" s="1"/>
  <c r="I370" i="3" s="1"/>
  <c r="H371" i="3" a="1"/>
  <c r="H371" i="3" s="1"/>
  <c r="I371" i="3" s="1"/>
  <c r="H372" i="3" a="1"/>
  <c r="H372" i="3" s="1"/>
  <c r="I372" i="3" s="1"/>
  <c r="H373" i="3" a="1"/>
  <c r="H373" i="3" s="1"/>
  <c r="I373" i="3" s="1"/>
  <c r="H374" i="3" a="1"/>
  <c r="H374" i="3" s="1"/>
  <c r="I374" i="3" s="1"/>
  <c r="H375" i="3" a="1"/>
  <c r="H375" i="3" s="1"/>
  <c r="I375" i="3" s="1"/>
  <c r="H376" i="3" a="1"/>
  <c r="H376" i="3" s="1"/>
  <c r="I376" i="3" s="1"/>
  <c r="H377" i="3" a="1"/>
  <c r="H377" i="3" s="1"/>
  <c r="I377" i="3" s="1"/>
  <c r="H378" i="3" a="1"/>
  <c r="H378" i="3" s="1"/>
  <c r="I378" i="3" s="1"/>
  <c r="H379" i="3" a="1"/>
  <c r="H379" i="3" s="1"/>
  <c r="I379" i="3" s="1"/>
  <c r="H380" i="3" a="1"/>
  <c r="H380" i="3" s="1"/>
  <c r="I380" i="3" s="1"/>
  <c r="H381" i="3" a="1"/>
  <c r="H381" i="3" s="1"/>
  <c r="I381" i="3" s="1"/>
  <c r="H382" i="3" a="1"/>
  <c r="H382" i="3" s="1"/>
  <c r="I382" i="3" s="1"/>
  <c r="H383" i="3" a="1"/>
  <c r="H383" i="3" s="1"/>
  <c r="I383" i="3" s="1"/>
  <c r="H384" i="3" a="1"/>
  <c r="H384" i="3" s="1"/>
  <c r="I384" i="3" s="1"/>
  <c r="H385" i="3" a="1"/>
  <c r="H385" i="3" s="1"/>
  <c r="I385" i="3" s="1"/>
  <c r="H386" i="3" a="1"/>
  <c r="H386" i="3" s="1"/>
  <c r="I386" i="3" s="1"/>
  <c r="H387" i="3" a="1"/>
  <c r="H387" i="3" s="1"/>
  <c r="I387" i="3" s="1"/>
  <c r="H388" i="3" a="1"/>
  <c r="H388" i="3" s="1"/>
  <c r="I388" i="3" s="1"/>
  <c r="H389" i="3" a="1"/>
  <c r="H389" i="3" s="1"/>
  <c r="I389" i="3" s="1"/>
  <c r="H390" i="3" a="1"/>
  <c r="H390" i="3" s="1"/>
  <c r="I390" i="3" s="1"/>
  <c r="H391" i="3" a="1"/>
  <c r="H391" i="3" s="1"/>
  <c r="I391" i="3" s="1"/>
  <c r="H392" i="3" a="1"/>
  <c r="H392" i="3" s="1"/>
  <c r="I392" i="3" s="1"/>
  <c r="H393" i="3" a="1"/>
  <c r="H393" i="3" s="1"/>
  <c r="I393" i="3" s="1"/>
  <c r="H394" i="3" a="1"/>
  <c r="H394" i="3" s="1"/>
  <c r="I394" i="3" s="1"/>
  <c r="H395" i="3" a="1"/>
  <c r="H395" i="3" s="1"/>
  <c r="I395" i="3" s="1"/>
  <c r="H396" i="3" a="1"/>
  <c r="H396" i="3" s="1"/>
  <c r="I396" i="3" s="1"/>
  <c r="H397" i="3" a="1"/>
  <c r="H397" i="3" s="1"/>
  <c r="I397" i="3" s="1"/>
  <c r="H398" i="3" a="1"/>
  <c r="H398" i="3" s="1"/>
  <c r="I398" i="3" s="1"/>
  <c r="H399" i="3" a="1"/>
  <c r="H399" i="3" s="1"/>
  <c r="I399" i="3" s="1"/>
  <c r="H400" i="3" a="1"/>
  <c r="H400" i="3" s="1"/>
  <c r="I400" i="3" s="1"/>
  <c r="H401" i="3" a="1"/>
  <c r="H401" i="3" s="1"/>
  <c r="I401" i="3" s="1"/>
  <c r="H402" i="3" a="1"/>
  <c r="H402" i="3" s="1"/>
  <c r="I402" i="3" s="1"/>
  <c r="H403" i="3" a="1"/>
  <c r="H403" i="3" s="1"/>
  <c r="I403" i="3" s="1"/>
  <c r="H404" i="3" a="1"/>
  <c r="H404" i="3" s="1"/>
  <c r="I404" i="3" s="1"/>
  <c r="H405" i="3" a="1"/>
  <c r="H405" i="3" s="1"/>
  <c r="I405" i="3" s="1"/>
  <c r="H406" i="3" a="1"/>
  <c r="H406" i="3" s="1"/>
  <c r="I406" i="3" s="1"/>
  <c r="H407" i="3" a="1"/>
  <c r="H407" i="3" s="1"/>
  <c r="I407" i="3" s="1"/>
  <c r="H408" i="3" a="1"/>
  <c r="H408" i="3" s="1"/>
  <c r="I408" i="3" s="1"/>
  <c r="H409" i="3" a="1"/>
  <c r="H409" i="3" s="1"/>
  <c r="I409" i="3" s="1"/>
  <c r="H410" i="3" a="1"/>
  <c r="H410" i="3" s="1"/>
  <c r="I410" i="3" s="1"/>
  <c r="H411" i="3" a="1"/>
  <c r="H411" i="3" s="1"/>
  <c r="I411" i="3" s="1"/>
  <c r="H412" i="3" a="1"/>
  <c r="H412" i="3" s="1"/>
  <c r="I412" i="3" s="1"/>
  <c r="H413" i="3" a="1"/>
  <c r="H413" i="3" s="1"/>
  <c r="I413" i="3" s="1"/>
  <c r="H414" i="3" a="1"/>
  <c r="H414" i="3" s="1"/>
  <c r="I414" i="3" s="1"/>
  <c r="H415" i="3" a="1"/>
  <c r="H415" i="3" s="1"/>
  <c r="I415" i="3" s="1"/>
  <c r="H416" i="3" a="1"/>
  <c r="H416" i="3" s="1"/>
  <c r="I416" i="3" s="1"/>
  <c r="H417" i="3" a="1"/>
  <c r="H417" i="3" s="1"/>
  <c r="I417" i="3" s="1"/>
  <c r="H418" i="3" a="1"/>
  <c r="H418" i="3" s="1"/>
  <c r="I418" i="3" s="1"/>
  <c r="H419" i="3" a="1"/>
  <c r="H419" i="3" s="1"/>
  <c r="I419" i="3" s="1"/>
  <c r="H420" i="3" a="1"/>
  <c r="H420" i="3" s="1"/>
  <c r="I420" i="3" s="1"/>
  <c r="H421" i="3" a="1"/>
  <c r="H421" i="3" s="1"/>
  <c r="I421" i="3" s="1"/>
  <c r="H422" i="3" a="1"/>
  <c r="H422" i="3" s="1"/>
  <c r="I422" i="3" s="1"/>
  <c r="H423" i="3" a="1"/>
  <c r="H423" i="3" s="1"/>
  <c r="I423" i="3" s="1"/>
  <c r="H424" i="3" a="1"/>
  <c r="H424" i="3" s="1"/>
  <c r="I424" i="3" s="1"/>
  <c r="H425" i="3" a="1"/>
  <c r="H425" i="3" s="1"/>
  <c r="I425" i="3" s="1"/>
  <c r="H426" i="3" a="1"/>
  <c r="H426" i="3" s="1"/>
  <c r="I426" i="3" s="1"/>
  <c r="H427" i="3" a="1"/>
  <c r="H427" i="3" s="1"/>
  <c r="I427" i="3" s="1"/>
  <c r="H428" i="3" a="1"/>
  <c r="H428" i="3" s="1"/>
  <c r="I428" i="3" s="1"/>
  <c r="H429" i="3" a="1"/>
  <c r="H429" i="3" s="1"/>
  <c r="I429" i="3" s="1"/>
  <c r="H430" i="3" a="1"/>
  <c r="H430" i="3" s="1"/>
  <c r="I430" i="3" s="1"/>
  <c r="H431" i="3" a="1"/>
  <c r="H431" i="3" s="1"/>
  <c r="I431" i="3" s="1"/>
  <c r="H432" i="3" a="1"/>
  <c r="H432" i="3" s="1"/>
  <c r="I432" i="3" s="1"/>
  <c r="H433" i="3" a="1"/>
  <c r="H433" i="3" s="1"/>
  <c r="I433" i="3" s="1"/>
  <c r="H434" i="3" a="1"/>
  <c r="H434" i="3" s="1"/>
  <c r="I434" i="3" s="1"/>
  <c r="H435" i="3" a="1"/>
  <c r="H435" i="3" s="1"/>
  <c r="I435" i="3" s="1"/>
  <c r="H436" i="3" a="1"/>
  <c r="H436" i="3" s="1"/>
  <c r="I436" i="3" s="1"/>
  <c r="H437" i="3" a="1"/>
  <c r="H437" i="3" s="1"/>
  <c r="I437" i="3" s="1"/>
  <c r="H438" i="3" a="1"/>
  <c r="H438" i="3" s="1"/>
  <c r="I438" i="3" s="1"/>
  <c r="H439" i="3" a="1"/>
  <c r="H439" i="3" s="1"/>
  <c r="I439" i="3" s="1"/>
  <c r="H440" i="3" a="1"/>
  <c r="H440" i="3" s="1"/>
  <c r="I440" i="3" s="1"/>
  <c r="H441" i="3" a="1"/>
  <c r="H441" i="3" s="1"/>
  <c r="I441" i="3" s="1"/>
  <c r="H442" i="3" a="1"/>
  <c r="H442" i="3" s="1"/>
  <c r="I442" i="3" s="1"/>
  <c r="H443" i="3" a="1"/>
  <c r="H443" i="3" s="1"/>
  <c r="I443" i="3" s="1"/>
  <c r="H444" i="3" a="1"/>
  <c r="H444" i="3" s="1"/>
  <c r="I444" i="3" s="1"/>
  <c r="H445" i="3" a="1"/>
  <c r="H445" i="3" s="1"/>
  <c r="I445" i="3" s="1"/>
  <c r="H446" i="3" a="1"/>
  <c r="H446" i="3" s="1"/>
  <c r="I446" i="3" s="1"/>
  <c r="H447" i="3" a="1"/>
  <c r="H447" i="3" s="1"/>
  <c r="I447" i="3" s="1"/>
  <c r="H448" i="3" a="1"/>
  <c r="H448" i="3" s="1"/>
  <c r="I448" i="3" s="1"/>
  <c r="H449" i="3" a="1"/>
  <c r="H449" i="3" s="1"/>
  <c r="I449" i="3" s="1"/>
  <c r="H450" i="3" a="1"/>
  <c r="H450" i="3" s="1"/>
  <c r="I450" i="3" s="1"/>
  <c r="H451" i="3" a="1"/>
  <c r="H451" i="3" s="1"/>
  <c r="I451" i="3" s="1"/>
  <c r="H452" i="3" a="1"/>
  <c r="H452" i="3" s="1"/>
  <c r="I452" i="3" s="1"/>
  <c r="H453" i="3" a="1"/>
  <c r="H453" i="3" s="1"/>
  <c r="I453" i="3" s="1"/>
  <c r="H454" i="3" a="1"/>
  <c r="H454" i="3" s="1"/>
  <c r="I454" i="3" s="1"/>
  <c r="H455" i="3" a="1"/>
  <c r="H455" i="3" s="1"/>
  <c r="I455" i="3" s="1"/>
  <c r="H456" i="3" a="1"/>
  <c r="H456" i="3" s="1"/>
  <c r="I456" i="3" s="1"/>
  <c r="H457" i="3" a="1"/>
  <c r="H457" i="3" s="1"/>
  <c r="I457" i="3" s="1"/>
  <c r="H458" i="3" a="1"/>
  <c r="H458" i="3" s="1"/>
  <c r="I458" i="3" s="1"/>
  <c r="H459" i="3" a="1"/>
  <c r="H459" i="3" s="1"/>
  <c r="I459" i="3" s="1"/>
  <c r="H460" i="3" a="1"/>
  <c r="H460" i="3" s="1"/>
  <c r="I460" i="3" s="1"/>
  <c r="H461" i="3" a="1"/>
  <c r="H461" i="3" s="1"/>
  <c r="I461" i="3" s="1"/>
  <c r="H462" i="3" a="1"/>
  <c r="H462" i="3" s="1"/>
  <c r="I462" i="3" s="1"/>
  <c r="H463" i="3" a="1"/>
  <c r="H463" i="3" s="1"/>
  <c r="I463" i="3" s="1"/>
  <c r="H464" i="3" a="1"/>
  <c r="H464" i="3" s="1"/>
  <c r="I464" i="3" s="1"/>
  <c r="H465" i="3" a="1"/>
  <c r="H465" i="3" s="1"/>
  <c r="I465" i="3" s="1"/>
  <c r="H466" i="3" a="1"/>
  <c r="H466" i="3" s="1"/>
  <c r="I466" i="3" s="1"/>
  <c r="H467" i="3" a="1"/>
  <c r="H467" i="3" s="1"/>
  <c r="I467" i="3" s="1"/>
  <c r="H468" i="3" a="1"/>
  <c r="H468" i="3" s="1"/>
  <c r="I468" i="3" s="1"/>
  <c r="H469" i="3" a="1"/>
  <c r="H469" i="3" s="1"/>
  <c r="I469" i="3" s="1"/>
  <c r="H470" i="3" a="1"/>
  <c r="H470" i="3" s="1"/>
  <c r="I470" i="3" s="1"/>
  <c r="H471" i="3" a="1"/>
  <c r="H471" i="3" s="1"/>
  <c r="I471" i="3" s="1"/>
  <c r="H472" i="3" a="1"/>
  <c r="H472" i="3" s="1"/>
  <c r="I472" i="3" s="1"/>
  <c r="H473" i="3" a="1"/>
  <c r="H473" i="3" s="1"/>
  <c r="I473" i="3" s="1"/>
  <c r="H474" i="3" a="1"/>
  <c r="H474" i="3" s="1"/>
  <c r="I474" i="3" s="1"/>
  <c r="H475" i="3" a="1"/>
  <c r="H475" i="3" s="1"/>
  <c r="I475" i="3" s="1"/>
  <c r="H476" i="3" a="1"/>
  <c r="H476" i="3" s="1"/>
  <c r="I476" i="3" s="1"/>
  <c r="H477" i="3" a="1"/>
  <c r="H477" i="3" s="1"/>
  <c r="I477" i="3" s="1"/>
  <c r="H478" i="3" a="1"/>
  <c r="H478" i="3" s="1"/>
  <c r="I478" i="3" s="1"/>
  <c r="H479" i="3" a="1"/>
  <c r="H479" i="3" s="1"/>
  <c r="I479" i="3" s="1"/>
  <c r="H480" i="3" a="1"/>
  <c r="H480" i="3" s="1"/>
  <c r="I480" i="3" s="1"/>
  <c r="H481" i="3" a="1"/>
  <c r="H481" i="3" s="1"/>
  <c r="I481" i="3" s="1"/>
  <c r="H482" i="3" a="1"/>
  <c r="H482" i="3" s="1"/>
  <c r="I482" i="3" s="1"/>
  <c r="H483" i="3" a="1"/>
  <c r="H483" i="3" s="1"/>
  <c r="I483" i="3" s="1"/>
  <c r="H484" i="3" a="1"/>
  <c r="H484" i="3" s="1"/>
  <c r="I484" i="3" s="1"/>
  <c r="H485" i="3" a="1"/>
  <c r="H485" i="3" s="1"/>
  <c r="I485" i="3" s="1"/>
  <c r="H486" i="3" a="1"/>
  <c r="H486" i="3" s="1"/>
  <c r="I486" i="3" s="1"/>
  <c r="H487" i="3" a="1"/>
  <c r="H487" i="3" s="1"/>
  <c r="I487" i="3" s="1"/>
  <c r="H488" i="3" a="1"/>
  <c r="H488" i="3" s="1"/>
  <c r="I488" i="3" s="1"/>
  <c r="H489" i="3" a="1"/>
  <c r="H489" i="3" s="1"/>
  <c r="I489" i="3" s="1"/>
  <c r="H490" i="3" a="1"/>
  <c r="H490" i="3" s="1"/>
  <c r="I490" i="3" s="1"/>
  <c r="H491" i="3" a="1"/>
  <c r="H491" i="3" s="1"/>
  <c r="I491" i="3" s="1"/>
  <c r="H492" i="3" a="1"/>
  <c r="H492" i="3" s="1"/>
  <c r="I492" i="3" s="1"/>
  <c r="H493" i="3" a="1"/>
  <c r="H493" i="3" s="1"/>
  <c r="I493" i="3" s="1"/>
  <c r="H494" i="3" a="1"/>
  <c r="H494" i="3"/>
  <c r="I494" i="3" s="1"/>
  <c r="H495" i="3" a="1"/>
  <c r="H495" i="3" s="1"/>
  <c r="I495" i="3" s="1"/>
  <c r="H496" i="3" a="1"/>
  <c r="H496" i="3" s="1"/>
  <c r="I496" i="3" s="1"/>
  <c r="H497" i="3" a="1"/>
  <c r="H497" i="3" s="1"/>
  <c r="I497" i="3" s="1"/>
  <c r="H498" i="3" a="1"/>
  <c r="H498" i="3" s="1"/>
  <c r="I498" i="3" s="1"/>
  <c r="H499" i="3" a="1"/>
  <c r="H499" i="3" s="1"/>
  <c r="I499" i="3" s="1"/>
  <c r="H500" i="3" a="1"/>
  <c r="H500" i="3" s="1"/>
  <c r="I500" i="3" s="1"/>
  <c r="H501" i="3" a="1"/>
  <c r="H501" i="3" s="1"/>
  <c r="I501" i="3" s="1"/>
  <c r="H502" i="3" a="1"/>
  <c r="H502" i="3" s="1"/>
  <c r="I502" i="3" s="1"/>
  <c r="H503" i="3" a="1"/>
  <c r="H503" i="3" s="1"/>
  <c r="I503" i="3" s="1"/>
  <c r="H504" i="3" a="1"/>
  <c r="H504" i="3" s="1"/>
  <c r="I504" i="3" s="1"/>
  <c r="H505" i="3" a="1"/>
  <c r="H505" i="3" s="1"/>
  <c r="I505" i="3" s="1"/>
  <c r="H506" i="3" a="1"/>
  <c r="H506" i="3" s="1"/>
  <c r="I506" i="3" s="1"/>
  <c r="H507" i="3" a="1"/>
  <c r="H507" i="3" s="1"/>
  <c r="I507" i="3" s="1"/>
  <c r="H508" i="3" a="1"/>
  <c r="H508" i="3" s="1"/>
  <c r="I508" i="3" s="1"/>
  <c r="H509" i="3" a="1"/>
  <c r="H509" i="3" s="1"/>
  <c r="I509" i="3" s="1"/>
  <c r="H510" i="3" a="1"/>
  <c r="H510" i="3" s="1"/>
  <c r="I510" i="3" s="1"/>
  <c r="H511" i="3" a="1"/>
  <c r="H511" i="3" s="1"/>
  <c r="I511" i="3" s="1"/>
  <c r="H512" i="3" a="1"/>
  <c r="H512" i="3" s="1"/>
  <c r="I512" i="3" s="1"/>
  <c r="H513" i="3" a="1"/>
  <c r="H513" i="3" s="1"/>
  <c r="I513" i="3" s="1"/>
  <c r="H514" i="3" a="1"/>
  <c r="H514" i="3" s="1"/>
  <c r="I514" i="3" s="1"/>
  <c r="H515" i="3" a="1"/>
  <c r="H515" i="3" s="1"/>
  <c r="I515" i="3" s="1"/>
  <c r="H516" i="3" a="1"/>
  <c r="H516" i="3" s="1"/>
  <c r="I516" i="3" s="1"/>
  <c r="H517" i="3" a="1"/>
  <c r="H517" i="3" s="1"/>
  <c r="I517" i="3" s="1"/>
  <c r="H518" i="3" a="1"/>
  <c r="H518" i="3" s="1"/>
  <c r="I518" i="3" s="1"/>
  <c r="H519" i="3" a="1"/>
  <c r="H519" i="3" s="1"/>
  <c r="I519" i="3" s="1"/>
  <c r="H520" i="3" a="1"/>
  <c r="H520" i="3" s="1"/>
  <c r="I520" i="3" s="1"/>
  <c r="H521" i="3" a="1"/>
  <c r="H521" i="3" s="1"/>
  <c r="I521" i="3" s="1"/>
  <c r="H522" i="3" a="1"/>
  <c r="H522" i="3" s="1"/>
  <c r="I522" i="3" s="1"/>
  <c r="H523" i="3" a="1"/>
  <c r="H523" i="3" s="1"/>
  <c r="I523" i="3" s="1"/>
  <c r="H524" i="3" a="1"/>
  <c r="H524" i="3" s="1"/>
  <c r="I524" i="3" s="1"/>
  <c r="H525" i="3" a="1"/>
  <c r="H525" i="3" s="1"/>
  <c r="I525" i="3" s="1"/>
  <c r="H526" i="3" a="1"/>
  <c r="H526" i="3" s="1"/>
  <c r="I526" i="3" s="1"/>
  <c r="H527" i="3" a="1"/>
  <c r="H527" i="3" s="1"/>
  <c r="I527" i="3" s="1"/>
  <c r="H528" i="3" a="1"/>
  <c r="H528" i="3" s="1"/>
  <c r="I528" i="3" s="1"/>
  <c r="H529" i="3" a="1"/>
  <c r="H529" i="3" s="1"/>
  <c r="I529" i="3" s="1"/>
  <c r="H530" i="3" a="1"/>
  <c r="H530" i="3" s="1"/>
  <c r="I530" i="3" s="1"/>
  <c r="H531" i="3" a="1"/>
  <c r="H531" i="3" s="1"/>
  <c r="I531" i="3" s="1"/>
  <c r="H532" i="3" a="1"/>
  <c r="H532" i="3" s="1"/>
  <c r="I532" i="3" s="1"/>
  <c r="H533" i="3" a="1"/>
  <c r="H533" i="3" s="1"/>
  <c r="I533" i="3" s="1"/>
  <c r="H534" i="3" a="1"/>
  <c r="H534" i="3" s="1"/>
  <c r="I534" i="3" s="1"/>
  <c r="H535" i="3" a="1"/>
  <c r="H535" i="3" s="1"/>
  <c r="I535" i="3" s="1"/>
  <c r="H536" i="3" a="1"/>
  <c r="H536" i="3" s="1"/>
  <c r="I536" i="3" s="1"/>
  <c r="H537" i="3" a="1"/>
  <c r="H537" i="3" s="1"/>
  <c r="I537" i="3" s="1"/>
  <c r="H538" i="3" a="1"/>
  <c r="H538" i="3" s="1"/>
  <c r="I538" i="3" s="1"/>
  <c r="H539" i="3" a="1"/>
  <c r="H539" i="3" s="1"/>
  <c r="I539" i="3" s="1"/>
  <c r="H540" i="3" a="1"/>
  <c r="H540" i="3" s="1"/>
  <c r="I540" i="3" s="1"/>
  <c r="H541" i="3" a="1"/>
  <c r="H541" i="3" s="1"/>
  <c r="I541" i="3" s="1"/>
  <c r="H542" i="3" a="1"/>
  <c r="H542" i="3" s="1"/>
  <c r="I542" i="3" s="1"/>
  <c r="H543" i="3" a="1"/>
  <c r="H543" i="3" s="1"/>
  <c r="I543" i="3" s="1"/>
  <c r="H544" i="3" a="1"/>
  <c r="H544" i="3" s="1"/>
  <c r="I544" i="3" s="1"/>
  <c r="H545" i="3" a="1"/>
  <c r="H545" i="3" s="1"/>
  <c r="I545" i="3" s="1"/>
  <c r="H546" i="3" a="1"/>
  <c r="H546" i="3" s="1"/>
  <c r="I546" i="3" s="1"/>
  <c r="H547" i="3" a="1"/>
  <c r="H547" i="3" s="1"/>
  <c r="I547" i="3" s="1"/>
  <c r="H548" i="3" a="1"/>
  <c r="H548" i="3" s="1"/>
  <c r="I548" i="3" s="1"/>
  <c r="H549" i="3" a="1"/>
  <c r="H549" i="3" s="1"/>
  <c r="I549" i="3" s="1"/>
  <c r="H550" i="3" a="1"/>
  <c r="H550" i="3" s="1"/>
  <c r="I550" i="3" s="1"/>
  <c r="H551" i="3" a="1"/>
  <c r="H551" i="3" s="1"/>
  <c r="I551" i="3" s="1"/>
  <c r="H552" i="3" a="1"/>
  <c r="H552" i="3" s="1"/>
  <c r="I552" i="3" s="1"/>
  <c r="H553" i="3" a="1"/>
  <c r="H553" i="3" s="1"/>
  <c r="I553" i="3" s="1"/>
  <c r="H554" i="3" a="1"/>
  <c r="H554" i="3" s="1"/>
  <c r="I554" i="3" s="1"/>
  <c r="H555" i="3" a="1"/>
  <c r="H555" i="3" s="1"/>
  <c r="I555" i="3" s="1"/>
  <c r="H556" i="3" a="1"/>
  <c r="H556" i="3" s="1"/>
  <c r="I556" i="3" s="1"/>
  <c r="H557" i="3" a="1"/>
  <c r="H557" i="3" s="1"/>
  <c r="I557" i="3" s="1"/>
  <c r="H558" i="3" a="1"/>
  <c r="H558" i="3" s="1"/>
  <c r="I558" i="3" s="1"/>
  <c r="H559" i="3" a="1"/>
  <c r="H559" i="3" s="1"/>
  <c r="I559" i="3" s="1"/>
  <c r="H560" i="3" a="1"/>
  <c r="H560" i="3" s="1"/>
  <c r="I560" i="3" s="1"/>
  <c r="H561" i="3" a="1"/>
  <c r="H561" i="3" s="1"/>
  <c r="I561" i="3" s="1"/>
  <c r="H562" i="3" a="1"/>
  <c r="H562" i="3" s="1"/>
  <c r="I562" i="3" s="1"/>
  <c r="H563" i="3" a="1"/>
  <c r="H563" i="3" s="1"/>
  <c r="I563" i="3" s="1"/>
  <c r="H564" i="3" a="1"/>
  <c r="H564" i="3" s="1"/>
  <c r="I564" i="3" s="1"/>
  <c r="H565" i="3" a="1"/>
  <c r="H565" i="3" s="1"/>
  <c r="I565" i="3" s="1"/>
  <c r="H566" i="3" a="1"/>
  <c r="H566" i="3" s="1"/>
  <c r="I566" i="3" s="1"/>
  <c r="H567" i="3" a="1"/>
  <c r="H567" i="3" s="1"/>
  <c r="I567" i="3" s="1"/>
  <c r="H568" i="3" a="1"/>
  <c r="H568" i="3" s="1"/>
  <c r="I568" i="3" s="1"/>
  <c r="H569" i="3" a="1"/>
  <c r="H569" i="3" s="1"/>
  <c r="I569" i="3" s="1"/>
  <c r="L569" i="3" s="1"/>
  <c r="H570" i="3" a="1"/>
  <c r="H570" i="3" s="1"/>
  <c r="I570" i="3" s="1"/>
  <c r="H571" i="3" a="1"/>
  <c r="H571" i="3" s="1"/>
  <c r="I571" i="3" s="1"/>
  <c r="H572" i="3" a="1"/>
  <c r="H572" i="3" s="1"/>
  <c r="I572" i="3" s="1"/>
  <c r="H573" i="3" a="1"/>
  <c r="H573" i="3" s="1"/>
  <c r="I573" i="3" s="1"/>
  <c r="H574" i="3" a="1"/>
  <c r="H574" i="3" s="1"/>
  <c r="I574" i="3" s="1"/>
  <c r="H575" i="3" a="1"/>
  <c r="H575" i="3" s="1"/>
  <c r="I575" i="3" s="1"/>
  <c r="H576" i="3" a="1"/>
  <c r="H576" i="3" s="1"/>
  <c r="I576" i="3" s="1"/>
  <c r="H577" i="3" a="1"/>
  <c r="H577" i="3" s="1"/>
  <c r="I577" i="3" s="1"/>
  <c r="H578" i="3" a="1"/>
  <c r="H578" i="3" s="1"/>
  <c r="I578" i="3" s="1"/>
  <c r="H579" i="3" a="1"/>
  <c r="H579" i="3" s="1"/>
  <c r="I579" i="3" s="1"/>
  <c r="H580" i="3" a="1"/>
  <c r="H580" i="3" s="1"/>
  <c r="I580" i="3" s="1"/>
  <c r="H581" i="3" a="1"/>
  <c r="H581" i="3" s="1"/>
  <c r="I581" i="3" s="1"/>
  <c r="H582" i="3" a="1"/>
  <c r="H582" i="3" s="1"/>
  <c r="I582" i="3" s="1"/>
  <c r="H583" i="3" a="1"/>
  <c r="H583" i="3" s="1"/>
  <c r="I583" i="3" s="1"/>
  <c r="H584" i="3" a="1"/>
  <c r="H584" i="3" s="1"/>
  <c r="I584" i="3" s="1"/>
  <c r="H585" i="3" a="1"/>
  <c r="H585" i="3" s="1"/>
  <c r="I585" i="3" s="1"/>
  <c r="H586" i="3" a="1"/>
  <c r="H586" i="3" s="1"/>
  <c r="I586" i="3" s="1"/>
  <c r="H587" i="3" a="1"/>
  <c r="H587" i="3" s="1"/>
  <c r="I587" i="3" s="1"/>
  <c r="H588" i="3" a="1"/>
  <c r="H588" i="3" s="1"/>
  <c r="I588" i="3" s="1"/>
  <c r="H589" i="3" a="1"/>
  <c r="H589" i="3" s="1"/>
  <c r="I589" i="3" s="1"/>
  <c r="H590" i="3" a="1"/>
  <c r="H590" i="3" s="1"/>
  <c r="I590" i="3" s="1"/>
  <c r="H591" i="3" a="1"/>
  <c r="H591" i="3" s="1"/>
  <c r="I591" i="3" s="1"/>
  <c r="H592" i="3" a="1"/>
  <c r="H592" i="3" s="1"/>
  <c r="I592" i="3" s="1"/>
  <c r="H593" i="3" a="1"/>
  <c r="H593" i="3" s="1"/>
  <c r="I593" i="3" s="1"/>
  <c r="H594" i="3" a="1"/>
  <c r="H594" i="3" s="1"/>
  <c r="I594" i="3" s="1"/>
  <c r="H595" i="3" a="1"/>
  <c r="H595" i="3" s="1"/>
  <c r="I595" i="3" s="1"/>
  <c r="H596" i="3" a="1"/>
  <c r="H596" i="3" s="1"/>
  <c r="I596" i="3" s="1"/>
  <c r="H597" i="3" a="1"/>
  <c r="H597" i="3" s="1"/>
  <c r="I597" i="3" s="1"/>
  <c r="H598" i="3" a="1"/>
  <c r="H598" i="3" s="1"/>
  <c r="I598" i="3" s="1"/>
  <c r="H599" i="3" a="1"/>
  <c r="H599" i="3" s="1"/>
  <c r="I599" i="3" s="1"/>
  <c r="H600" i="3" a="1"/>
  <c r="H600" i="3" s="1"/>
  <c r="I600" i="3" s="1"/>
  <c r="H601" i="3" a="1"/>
  <c r="H601" i="3" s="1"/>
  <c r="I601" i="3" s="1"/>
  <c r="H602" i="3" a="1"/>
  <c r="H602" i="3" s="1"/>
  <c r="I602" i="3" s="1"/>
  <c r="H603" i="3" a="1"/>
  <c r="H603" i="3" s="1"/>
  <c r="I603" i="3" s="1"/>
  <c r="H604" i="3" a="1"/>
  <c r="H604" i="3" s="1"/>
  <c r="I604" i="3" s="1"/>
  <c r="H605" i="3" a="1"/>
  <c r="H605" i="3" s="1"/>
  <c r="I605" i="3" s="1"/>
  <c r="H606" i="3" a="1"/>
  <c r="H606" i="3" s="1"/>
  <c r="I606" i="3" s="1"/>
  <c r="H607" i="3" a="1"/>
  <c r="H607" i="3" s="1"/>
  <c r="I607" i="3" s="1"/>
  <c r="H608" i="3" a="1"/>
  <c r="H608" i="3" s="1"/>
  <c r="I608" i="3" s="1"/>
  <c r="H609" i="3" a="1"/>
  <c r="H609" i="3" s="1"/>
  <c r="I609" i="3" s="1"/>
  <c r="H610" i="3" a="1"/>
  <c r="H610" i="3" s="1"/>
  <c r="I610" i="3" s="1"/>
  <c r="H611" i="3" a="1"/>
  <c r="H611" i="3" s="1"/>
  <c r="I611" i="3" s="1"/>
  <c r="H612" i="3" a="1"/>
  <c r="H612" i="3" s="1"/>
  <c r="I612" i="3" s="1"/>
  <c r="H613" i="3" a="1"/>
  <c r="H613" i="3" s="1"/>
  <c r="I613" i="3" s="1"/>
  <c r="H614" i="3" a="1"/>
  <c r="H614" i="3" s="1"/>
  <c r="I614" i="3" s="1"/>
  <c r="H615" i="3" a="1"/>
  <c r="H615" i="3" s="1"/>
  <c r="I615" i="3" s="1"/>
  <c r="H616" i="3" a="1"/>
  <c r="H616" i="3" s="1"/>
  <c r="I616" i="3" s="1"/>
  <c r="H617" i="3" a="1"/>
  <c r="H617" i="3" s="1"/>
  <c r="I617" i="3" s="1"/>
  <c r="H2" i="3" a="1"/>
  <c r="H2" i="3" s="1"/>
  <c r="I2" i="3" s="1"/>
  <c r="AH59" i="2" a="1"/>
  <c r="AH59" i="2"/>
  <c r="L395" i="3" l="1"/>
  <c r="L280" i="3"/>
  <c r="L201" i="3"/>
  <c r="L121" i="3"/>
  <c r="L168" i="3"/>
  <c r="L576" i="3"/>
  <c r="L464" i="3"/>
  <c r="L606" i="3"/>
  <c r="L590" i="3"/>
  <c r="L558" i="3"/>
  <c r="L542" i="3"/>
  <c r="L526" i="3"/>
  <c r="L510" i="3"/>
  <c r="L478" i="3"/>
  <c r="L446" i="3"/>
  <c r="L430" i="3"/>
  <c r="L414" i="3"/>
  <c r="L398" i="3"/>
  <c r="L350" i="3"/>
  <c r="L254" i="3"/>
  <c r="L238" i="3"/>
  <c r="L493" i="3"/>
  <c r="L571" i="3"/>
  <c r="L555" i="3"/>
  <c r="L539" i="3"/>
  <c r="L507" i="3"/>
  <c r="L475" i="3"/>
  <c r="L459" i="3"/>
  <c r="L443" i="3"/>
  <c r="L427" i="3"/>
  <c r="L411" i="3"/>
  <c r="L379" i="3"/>
  <c r="L331" i="3"/>
  <c r="L315" i="3"/>
  <c r="L283" i="3"/>
  <c r="L267" i="3"/>
  <c r="L410" i="3"/>
  <c r="L394" i="3"/>
  <c r="L362" i="3"/>
  <c r="L314" i="3"/>
  <c r="L298" i="3"/>
  <c r="L282" i="3"/>
  <c r="L218" i="3"/>
  <c r="L186" i="3"/>
  <c r="L154" i="3"/>
  <c r="L537" i="3"/>
  <c r="L57" i="3"/>
  <c r="L582" i="3"/>
  <c r="L566" i="3"/>
  <c r="L454" i="3"/>
  <c r="L438" i="3"/>
  <c r="L406" i="3"/>
  <c r="L358" i="3"/>
  <c r="L246" i="3"/>
  <c r="L198" i="3"/>
  <c r="L182" i="3"/>
  <c r="L612" i="3"/>
  <c r="L532" i="3"/>
  <c r="L516" i="3"/>
  <c r="L500" i="3"/>
  <c r="L484" i="3"/>
  <c r="L468" i="3"/>
  <c r="L436" i="3"/>
  <c r="L420" i="3"/>
  <c r="L388" i="3"/>
  <c r="L228" i="3"/>
  <c r="L212" i="3"/>
  <c r="L196" i="3"/>
  <c r="L164" i="3"/>
  <c r="L132" i="3"/>
  <c r="L466" i="3"/>
  <c r="L342" i="3"/>
  <c r="L522" i="3"/>
  <c r="L447" i="3"/>
  <c r="L346" i="3"/>
  <c r="L316" i="3"/>
  <c r="L285" i="3"/>
  <c r="L262" i="3"/>
  <c r="L232" i="3"/>
  <c r="L137" i="3"/>
  <c r="L115" i="3"/>
  <c r="L67" i="3"/>
  <c r="L3" i="3"/>
  <c r="L106" i="3"/>
  <c r="L90" i="3"/>
  <c r="L74" i="3"/>
  <c r="L58" i="3"/>
  <c r="L42" i="3"/>
  <c r="L26" i="3"/>
  <c r="L10" i="3"/>
  <c r="L521" i="3"/>
  <c r="L483" i="3"/>
  <c r="L378" i="3"/>
  <c r="L344" i="3"/>
  <c r="L284" i="3"/>
  <c r="L260" i="3"/>
  <c r="L230" i="3"/>
  <c r="L200" i="3"/>
  <c r="L166" i="3"/>
  <c r="L136" i="3"/>
  <c r="L112" i="3"/>
  <c r="L62" i="3"/>
  <c r="L617" i="3"/>
  <c r="L601" i="3"/>
  <c r="L585" i="3"/>
  <c r="L553" i="3"/>
  <c r="L505" i="3"/>
  <c r="L489" i="3"/>
  <c r="L473" i="3"/>
  <c r="L457" i="3"/>
  <c r="L425" i="3"/>
  <c r="L377" i="3"/>
  <c r="L361" i="3"/>
  <c r="L345" i="3"/>
  <c r="L329" i="3"/>
  <c r="L297" i="3"/>
  <c r="L281" i="3"/>
  <c r="L185" i="3"/>
  <c r="L169" i="3"/>
  <c r="L153" i="3"/>
  <c r="L105" i="3"/>
  <c r="L73" i="3"/>
  <c r="L41" i="3"/>
  <c r="L520" i="3"/>
  <c r="L444" i="3"/>
  <c r="L376" i="3"/>
  <c r="L134" i="3"/>
  <c r="L111" i="3"/>
  <c r="L59" i="3"/>
  <c r="L616" i="3"/>
  <c r="L584" i="3"/>
  <c r="L568" i="3"/>
  <c r="L472" i="3"/>
  <c r="L88" i="3"/>
  <c r="L72" i="3"/>
  <c r="L40" i="3"/>
  <c r="L24" i="3"/>
  <c r="L8" i="3"/>
  <c r="L556" i="3"/>
  <c r="L409" i="3"/>
  <c r="L374" i="3"/>
  <c r="L340" i="3"/>
  <c r="L313" i="3"/>
  <c r="L252" i="3"/>
  <c r="L227" i="3"/>
  <c r="L163" i="3"/>
  <c r="L110" i="3"/>
  <c r="L615" i="3"/>
  <c r="L599" i="3"/>
  <c r="L583" i="3"/>
  <c r="L567" i="3"/>
  <c r="L551" i="3"/>
  <c r="L535" i="3"/>
  <c r="L519" i="3"/>
  <c r="L503" i="3"/>
  <c r="L487" i="3"/>
  <c r="L471" i="3"/>
  <c r="L455" i="3"/>
  <c r="L439" i="3"/>
  <c r="L423" i="3"/>
  <c r="L407" i="3"/>
  <c r="L375" i="3"/>
  <c r="L359" i="3"/>
  <c r="L343" i="3"/>
  <c r="L327" i="3"/>
  <c r="L311" i="3"/>
  <c r="L295" i="3"/>
  <c r="L279" i="3"/>
  <c r="L231" i="3"/>
  <c r="L215" i="3"/>
  <c r="L199" i="3"/>
  <c r="L183" i="3"/>
  <c r="L167" i="3"/>
  <c r="L151" i="3"/>
  <c r="L135" i="3"/>
  <c r="L119" i="3"/>
  <c r="L103" i="3"/>
  <c r="L87" i="3"/>
  <c r="L71" i="3"/>
  <c r="L55" i="3"/>
  <c r="L39" i="3"/>
  <c r="L7" i="3"/>
  <c r="L602" i="3"/>
  <c r="L474" i="3"/>
  <c r="L442" i="3"/>
  <c r="L408" i="3"/>
  <c r="L372" i="3"/>
  <c r="L339" i="3"/>
  <c r="L312" i="3"/>
  <c r="L251" i="3"/>
  <c r="L222" i="3"/>
  <c r="L190" i="3"/>
  <c r="L158" i="3"/>
  <c r="L131" i="3"/>
  <c r="L109" i="3"/>
  <c r="L51" i="3"/>
  <c r="L614" i="3"/>
  <c r="L598" i="3"/>
  <c r="L550" i="3"/>
  <c r="L534" i="3"/>
  <c r="L518" i="3"/>
  <c r="L502" i="3"/>
  <c r="L470" i="3"/>
  <c r="L422" i="3"/>
  <c r="L86" i="3"/>
  <c r="L70" i="3"/>
  <c r="L54" i="3"/>
  <c r="L38" i="3"/>
  <c r="L22" i="3"/>
  <c r="L6" i="3"/>
  <c r="L600" i="3"/>
  <c r="L554" i="3"/>
  <c r="L441" i="3"/>
  <c r="L371" i="3"/>
  <c r="L338" i="3"/>
  <c r="L310" i="3"/>
  <c r="L278" i="3"/>
  <c r="L250" i="3"/>
  <c r="L220" i="3"/>
  <c r="L188" i="3"/>
  <c r="L156" i="3"/>
  <c r="L129" i="3"/>
  <c r="L107" i="3"/>
  <c r="L46" i="3"/>
  <c r="L613" i="3"/>
  <c r="L597" i="3"/>
  <c r="L581" i="3"/>
  <c r="L565" i="3"/>
  <c r="L549" i="3"/>
  <c r="L533" i="3"/>
  <c r="L517" i="3"/>
  <c r="L501" i="3"/>
  <c r="L485" i="3"/>
  <c r="L469" i="3"/>
  <c r="L453" i="3"/>
  <c r="L437" i="3"/>
  <c r="L421" i="3"/>
  <c r="L405" i="3"/>
  <c r="L389" i="3"/>
  <c r="L373" i="3"/>
  <c r="L357" i="3"/>
  <c r="L341" i="3"/>
  <c r="L325" i="3"/>
  <c r="L309" i="3"/>
  <c r="L293" i="3"/>
  <c r="L277" i="3"/>
  <c r="L261" i="3"/>
  <c r="L245" i="3"/>
  <c r="L229" i="3"/>
  <c r="L213" i="3"/>
  <c r="L197" i="3"/>
  <c r="L181" i="3"/>
  <c r="L165" i="3"/>
  <c r="L149" i="3"/>
  <c r="L133" i="3"/>
  <c r="L117" i="3"/>
  <c r="L101" i="3"/>
  <c r="L85" i="3"/>
  <c r="L69" i="3"/>
  <c r="L53" i="3"/>
  <c r="L37" i="3"/>
  <c r="L21" i="3"/>
  <c r="L5" i="3"/>
  <c r="L595" i="3"/>
  <c r="L552" i="3"/>
  <c r="L506" i="3"/>
  <c r="L467" i="3"/>
  <c r="L440" i="3"/>
  <c r="L404" i="3"/>
  <c r="L366" i="3"/>
  <c r="L336" i="3"/>
  <c r="L308" i="3"/>
  <c r="L276" i="3"/>
  <c r="L249" i="3"/>
  <c r="L219" i="3"/>
  <c r="L187" i="3"/>
  <c r="L155" i="3"/>
  <c r="L128" i="3"/>
  <c r="L104" i="3"/>
  <c r="L45" i="3"/>
  <c r="L596" i="3"/>
  <c r="L564" i="3"/>
  <c r="L548" i="3"/>
  <c r="L84" i="3"/>
  <c r="L68" i="3"/>
  <c r="L52" i="3"/>
  <c r="L36" i="3"/>
  <c r="L20" i="3"/>
  <c r="L4" i="3"/>
  <c r="L547" i="3"/>
  <c r="L504" i="3"/>
  <c r="L364" i="3"/>
  <c r="L335" i="3"/>
  <c r="L307" i="3"/>
  <c r="L275" i="3"/>
  <c r="L248" i="3"/>
  <c r="L127" i="3"/>
  <c r="L102" i="3"/>
  <c r="L43" i="3"/>
  <c r="L611" i="3"/>
  <c r="L579" i="3"/>
  <c r="L563" i="3"/>
  <c r="L531" i="3"/>
  <c r="L515" i="3"/>
  <c r="L451" i="3"/>
  <c r="L435" i="3"/>
  <c r="L403" i="3"/>
  <c r="L387" i="3"/>
  <c r="L323" i="3"/>
  <c r="L291" i="3"/>
  <c r="L259" i="3"/>
  <c r="L243" i="3"/>
  <c r="L211" i="3"/>
  <c r="L195" i="3"/>
  <c r="L586" i="3"/>
  <c r="L363" i="3"/>
  <c r="L334" i="3"/>
  <c r="L302" i="3"/>
  <c r="L270" i="3"/>
  <c r="L247" i="3"/>
  <c r="L217" i="3"/>
  <c r="L184" i="3"/>
  <c r="L152" i="3"/>
  <c r="L126" i="3"/>
  <c r="L100" i="3"/>
  <c r="L35" i="3"/>
  <c r="L610" i="3"/>
  <c r="L594" i="3"/>
  <c r="L578" i="3"/>
  <c r="L562" i="3"/>
  <c r="L546" i="3"/>
  <c r="L530" i="3"/>
  <c r="L514" i="3"/>
  <c r="L498" i="3"/>
  <c r="L482" i="3"/>
  <c r="L450" i="3"/>
  <c r="L434" i="3"/>
  <c r="L418" i="3"/>
  <c r="L402" i="3"/>
  <c r="L386" i="3"/>
  <c r="L370" i="3"/>
  <c r="L354" i="3"/>
  <c r="L322" i="3"/>
  <c r="L306" i="3"/>
  <c r="L290" i="3"/>
  <c r="L274" i="3"/>
  <c r="L258" i="3"/>
  <c r="L242" i="3"/>
  <c r="L226" i="3"/>
  <c r="L210" i="3"/>
  <c r="L194" i="3"/>
  <c r="L178" i="3"/>
  <c r="L162" i="3"/>
  <c r="L146" i="3"/>
  <c r="L130" i="3"/>
  <c r="L114" i="3"/>
  <c r="L98" i="3"/>
  <c r="L82" i="3"/>
  <c r="L66" i="3"/>
  <c r="L50" i="3"/>
  <c r="L34" i="3"/>
  <c r="L18" i="3"/>
  <c r="L2" i="3"/>
  <c r="L499" i="3"/>
  <c r="L463" i="3"/>
  <c r="L300" i="3"/>
  <c r="L269" i="3"/>
  <c r="L216" i="3"/>
  <c r="L150" i="3"/>
  <c r="L124" i="3"/>
  <c r="L99" i="3"/>
  <c r="L27" i="3"/>
  <c r="L609" i="3"/>
  <c r="L593" i="3"/>
  <c r="L577" i="3"/>
  <c r="L561" i="3"/>
  <c r="L545" i="3"/>
  <c r="L529" i="3"/>
  <c r="L513" i="3"/>
  <c r="L497" i="3"/>
  <c r="L481" i="3"/>
  <c r="L465" i="3"/>
  <c r="L449" i="3"/>
  <c r="L433" i="3"/>
  <c r="L417" i="3"/>
  <c r="L401" i="3"/>
  <c r="L385" i="3"/>
  <c r="L369" i="3"/>
  <c r="L353" i="3"/>
  <c r="L337" i="3"/>
  <c r="L321" i="3"/>
  <c r="L305" i="3"/>
  <c r="L289" i="3"/>
  <c r="L273" i="3"/>
  <c r="L257" i="3"/>
  <c r="L241" i="3"/>
  <c r="L225" i="3"/>
  <c r="L209" i="3"/>
  <c r="L193" i="3"/>
  <c r="L177" i="3"/>
  <c r="L161" i="3"/>
  <c r="L145" i="3"/>
  <c r="L113" i="3"/>
  <c r="L97" i="3"/>
  <c r="L81" i="3"/>
  <c r="L65" i="3"/>
  <c r="L49" i="3"/>
  <c r="L33" i="3"/>
  <c r="L17" i="3"/>
  <c r="L580" i="3"/>
  <c r="L538" i="3"/>
  <c r="L494" i="3"/>
  <c r="L462" i="3"/>
  <c r="L428" i="3"/>
  <c r="L393" i="3"/>
  <c r="L360" i="3"/>
  <c r="L330" i="3"/>
  <c r="L299" i="3"/>
  <c r="L268" i="3"/>
  <c r="L244" i="3"/>
  <c r="L214" i="3"/>
  <c r="L180" i="3"/>
  <c r="L148" i="3"/>
  <c r="L123" i="3"/>
  <c r="L94" i="3"/>
  <c r="L25" i="3"/>
  <c r="L608" i="3"/>
  <c r="L592" i="3"/>
  <c r="L560" i="3"/>
  <c r="L544" i="3"/>
  <c r="L528" i="3"/>
  <c r="L512" i="3"/>
  <c r="L496" i="3"/>
  <c r="L480" i="3"/>
  <c r="L448" i="3"/>
  <c r="L432" i="3"/>
  <c r="L416" i="3"/>
  <c r="L400" i="3"/>
  <c r="L384" i="3"/>
  <c r="L368" i="3"/>
  <c r="L352" i="3"/>
  <c r="L320" i="3"/>
  <c r="L304" i="3"/>
  <c r="L288" i="3"/>
  <c r="L272" i="3"/>
  <c r="L256" i="3"/>
  <c r="L240" i="3"/>
  <c r="L224" i="3"/>
  <c r="L208" i="3"/>
  <c r="L192" i="3"/>
  <c r="L176" i="3"/>
  <c r="L160" i="3"/>
  <c r="L144" i="3"/>
  <c r="L96" i="3"/>
  <c r="L80" i="3"/>
  <c r="L64" i="3"/>
  <c r="L48" i="3"/>
  <c r="L32" i="3"/>
  <c r="L16" i="3"/>
  <c r="L392" i="3"/>
  <c r="L328" i="3"/>
  <c r="L179" i="3"/>
  <c r="L147" i="3"/>
  <c r="L122" i="3"/>
  <c r="L91" i="3"/>
  <c r="L23" i="3"/>
  <c r="L607" i="3"/>
  <c r="L591" i="3"/>
  <c r="L575" i="3"/>
  <c r="L559" i="3"/>
  <c r="L543" i="3"/>
  <c r="L527" i="3"/>
  <c r="L511" i="3"/>
  <c r="L495" i="3"/>
  <c r="L479" i="3"/>
  <c r="L431" i="3"/>
  <c r="L415" i="3"/>
  <c r="L399" i="3"/>
  <c r="L383" i="3"/>
  <c r="L367" i="3"/>
  <c r="L351" i="3"/>
  <c r="L303" i="3"/>
  <c r="L287" i="3"/>
  <c r="L271" i="3"/>
  <c r="L255" i="3"/>
  <c r="L239" i="3"/>
  <c r="L223" i="3"/>
  <c r="L207" i="3"/>
  <c r="L191" i="3"/>
  <c r="L175" i="3"/>
  <c r="L159" i="3"/>
  <c r="L143" i="3"/>
  <c r="L95" i="3"/>
  <c r="L79" i="3"/>
  <c r="L63" i="3"/>
  <c r="L47" i="3"/>
  <c r="L31" i="3"/>
  <c r="L574" i="3"/>
  <c r="L536" i="3"/>
  <c r="L491" i="3"/>
  <c r="L458" i="3"/>
  <c r="L426" i="3"/>
  <c r="L391" i="3"/>
  <c r="L356" i="3"/>
  <c r="L326" i="3"/>
  <c r="L296" i="3"/>
  <c r="L266" i="3"/>
  <c r="L236" i="3"/>
  <c r="L206" i="3"/>
  <c r="L174" i="3"/>
  <c r="L142" i="3"/>
  <c r="L89" i="3"/>
  <c r="L19" i="3"/>
  <c r="L30" i="3"/>
  <c r="L14" i="3"/>
  <c r="L572" i="3"/>
  <c r="L490" i="3"/>
  <c r="L456" i="3"/>
  <c r="L424" i="3"/>
  <c r="L390" i="3"/>
  <c r="L355" i="3"/>
  <c r="L324" i="3"/>
  <c r="L294" i="3"/>
  <c r="L265" i="3"/>
  <c r="L235" i="3"/>
  <c r="L204" i="3"/>
  <c r="L172" i="3"/>
  <c r="L140" i="3"/>
  <c r="L120" i="3"/>
  <c r="L83" i="3"/>
  <c r="L15" i="3"/>
  <c r="L605" i="3"/>
  <c r="L589" i="3"/>
  <c r="L573" i="3"/>
  <c r="L557" i="3"/>
  <c r="L541" i="3"/>
  <c r="L525" i="3"/>
  <c r="L509" i="3"/>
  <c r="L477" i="3"/>
  <c r="L461" i="3"/>
  <c r="L445" i="3"/>
  <c r="L429" i="3"/>
  <c r="L413" i="3"/>
  <c r="L397" i="3"/>
  <c r="L381" i="3"/>
  <c r="L365" i="3"/>
  <c r="L349" i="3"/>
  <c r="L333" i="3"/>
  <c r="L317" i="3"/>
  <c r="L301" i="3"/>
  <c r="L253" i="3"/>
  <c r="L237" i="3"/>
  <c r="L221" i="3"/>
  <c r="L205" i="3"/>
  <c r="L189" i="3"/>
  <c r="L173" i="3"/>
  <c r="L157" i="3"/>
  <c r="L141" i="3"/>
  <c r="L125" i="3"/>
  <c r="L93" i="3"/>
  <c r="L77" i="3"/>
  <c r="L61" i="3"/>
  <c r="L29" i="3"/>
  <c r="L13" i="3"/>
  <c r="L488" i="3"/>
  <c r="L319" i="3"/>
  <c r="L292" i="3"/>
  <c r="L264" i="3"/>
  <c r="L234" i="3"/>
  <c r="L203" i="3"/>
  <c r="L171" i="3"/>
  <c r="L139" i="3"/>
  <c r="L118" i="3"/>
  <c r="L78" i="3"/>
  <c r="L11" i="3"/>
  <c r="L604" i="3"/>
  <c r="L588" i="3"/>
  <c r="L540" i="3"/>
  <c r="L524" i="3"/>
  <c r="L508" i="3"/>
  <c r="L492" i="3"/>
  <c r="L476" i="3"/>
  <c r="L460" i="3"/>
  <c r="L412" i="3"/>
  <c r="L396" i="3"/>
  <c r="L380" i="3"/>
  <c r="L348" i="3"/>
  <c r="L332" i="3"/>
  <c r="L108" i="3"/>
  <c r="L92" i="3"/>
  <c r="L76" i="3"/>
  <c r="L60" i="3"/>
  <c r="L44" i="3"/>
  <c r="L28" i="3"/>
  <c r="L12" i="3"/>
  <c r="L570" i="3"/>
  <c r="L523" i="3"/>
  <c r="L486" i="3"/>
  <c r="L452" i="3"/>
  <c r="L419" i="3"/>
  <c r="L382" i="3"/>
  <c r="L347" i="3"/>
  <c r="L318" i="3"/>
  <c r="L286" i="3"/>
  <c r="L263" i="3"/>
  <c r="L233" i="3"/>
  <c r="L202" i="3"/>
  <c r="L170" i="3"/>
  <c r="L138" i="3"/>
  <c r="L116" i="3"/>
  <c r="L75" i="3"/>
  <c r="L9" i="3"/>
  <c r="L603" i="3"/>
  <c r="L58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1183D-8238-4DCE-A598-D32B4BA19226}" keepAlive="1" name="Query - Allprovinces" description="Connection to the 'Allprovinces' query in the workbook." type="5" refreshedVersion="8" background="1" saveData="1">
    <dbPr connection="Provider=Microsoft.Mashup.OleDb.1;Data Source=$Workbook$;Location=Allprovinces;Extended Properties=&quot;&quot;" command="SELECT * FROM [Allprovin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<sst xmlns="http://schemas.openxmlformats.org/spreadsheetml/2006/main" count="969" uniqueCount="125">
  <si>
    <t>region</t>
  </si>
  <si>
    <t>province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</si>
  <si>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</si>
  <si>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</si>
  <si>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</si>
  <si>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</si>
  <si>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</si>
  <si>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</si>
  <si>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</si>
  <si>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</si>
  <si>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</si>
  <si>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</si>
  <si>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</si>
  <si>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</si>
  <si>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</si>
  <si>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</si>
  <si>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</si>
  <si>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</si>
  <si>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</si>
  <si>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</si>
  <si>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</si>
  <si>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</si>
  <si>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</si>
  <si>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</si>
  <si>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</si>
  <si>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</si>
  <si>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NE</t>
  </si>
  <si>
    <t>Khon Kaen</t>
  </si>
  <si>
    <t>Udon Thani</t>
  </si>
  <si>
    <t>Loei</t>
  </si>
  <si>
    <t>Nong Khai</t>
  </si>
  <si>
    <t>Mukdahan</t>
  </si>
  <si>
    <t>Nakhon Phanom</t>
  </si>
  <si>
    <t>Sakon Nakhon</t>
  </si>
  <si>
    <t>Kalasin</t>
  </si>
  <si>
    <t>Nakhon Ratchasima</t>
  </si>
  <si>
    <t>Chaiyaphum</t>
  </si>
  <si>
    <t>Yasothon</t>
  </si>
  <si>
    <t>Ubon Ratchathani</t>
  </si>
  <si>
    <t>Roi Et</t>
  </si>
  <si>
    <t>Buri Ram</t>
  </si>
  <si>
    <t>Surin</t>
  </si>
  <si>
    <t>Maha Sarakham</t>
  </si>
  <si>
    <t>Si Sa Ket</t>
  </si>
  <si>
    <t>Nongbua Lamphu</t>
  </si>
  <si>
    <t>Amnat Chareon</t>
  </si>
  <si>
    <t>Bueng Kan</t>
  </si>
  <si>
    <t>NO</t>
  </si>
  <si>
    <t>Chiang Mai</t>
  </si>
  <si>
    <t>Lampang</t>
  </si>
  <si>
    <t>Uttaradit</t>
  </si>
  <si>
    <t>Mae Hong Son</t>
  </si>
  <si>
    <t>Chiang Rai</t>
  </si>
  <si>
    <t>Phrae</t>
  </si>
  <si>
    <t>Lamphun</t>
  </si>
  <si>
    <t>Nan</t>
  </si>
  <si>
    <t>Phayao</t>
  </si>
  <si>
    <t>Nakhon Sawan</t>
  </si>
  <si>
    <t>Phitsanulok</t>
  </si>
  <si>
    <t>Kam Phaeng Phet</t>
  </si>
  <si>
    <t>Uthai Thani</t>
  </si>
  <si>
    <t>Sukhothai</t>
  </si>
  <si>
    <t>Tak</t>
  </si>
  <si>
    <t>Phichit</t>
  </si>
  <si>
    <t>Phetchabun</t>
  </si>
  <si>
    <t>SO</t>
  </si>
  <si>
    <t>Phuket</t>
  </si>
  <si>
    <t>Surat Thani</t>
  </si>
  <si>
    <t>Ranong</t>
  </si>
  <si>
    <t>Phangnga</t>
  </si>
  <si>
    <t>Krabi</t>
  </si>
  <si>
    <t>Chumphon</t>
  </si>
  <si>
    <t>Nakhon Si Thammarat</t>
  </si>
  <si>
    <t>Songkhla</t>
  </si>
  <si>
    <t>Satun</t>
  </si>
  <si>
    <t>Yala</t>
  </si>
  <si>
    <t>Trang</t>
  </si>
  <si>
    <t>Narathiwat</t>
  </si>
  <si>
    <t>Phatthalung</t>
  </si>
  <si>
    <t>Pattani</t>
  </si>
  <si>
    <t>EA</t>
  </si>
  <si>
    <t>Chon Buri</t>
  </si>
  <si>
    <t>Chachoengsao</t>
  </si>
  <si>
    <t>Rayong</t>
  </si>
  <si>
    <t>Trat</t>
  </si>
  <si>
    <t>Chanthaburi</t>
  </si>
  <si>
    <t>Nakhon Nayok</t>
  </si>
  <si>
    <t>Prachin Buri</t>
  </si>
  <si>
    <t>Sa Kaew</t>
  </si>
  <si>
    <t>WE</t>
  </si>
  <si>
    <t>Ratchaburi</t>
  </si>
  <si>
    <t>Kanchanaburi</t>
  </si>
  <si>
    <t>Phachuap Khiri Khan</t>
  </si>
  <si>
    <t>Phetchaburi</t>
  </si>
  <si>
    <t>Suphan Buri</t>
  </si>
  <si>
    <t>Samut Songkhram</t>
  </si>
  <si>
    <t>CE</t>
  </si>
  <si>
    <t>Saraburi</t>
  </si>
  <si>
    <t>Singburi</t>
  </si>
  <si>
    <t>Chai Nat</t>
  </si>
  <si>
    <t>Ang Thong</t>
  </si>
  <si>
    <t>Lop Buri</t>
  </si>
  <si>
    <t>Phra Nakhon Sri Ayuthaya</t>
  </si>
  <si>
    <t>BKK&amp;VIC</t>
  </si>
  <si>
    <t>Samut Prakan</t>
  </si>
  <si>
    <t>Pathum Thani</t>
  </si>
  <si>
    <t>Samut Sakhon</t>
  </si>
  <si>
    <t>Nakhon Pathom</t>
  </si>
  <si>
    <t>Nonthaburi</t>
  </si>
  <si>
    <t>2019</t>
  </si>
  <si>
    <t>2020</t>
  </si>
  <si>
    <t>2021</t>
  </si>
  <si>
    <t>Bangkok</t>
  </si>
  <si>
    <t>year</t>
  </si>
  <si>
    <t>asdf_id</t>
  </si>
  <si>
    <t>shapeISO</t>
  </si>
  <si>
    <t>gdp</t>
  </si>
  <si>
    <t>total_sol</t>
  </si>
  <si>
    <t>mean_sol</t>
  </si>
  <si>
    <t>pop</t>
  </si>
  <si>
    <t>gdppc</t>
  </si>
  <si>
    <t>gpp(millions)</t>
  </si>
  <si>
    <t>population(1,000 persons)</t>
  </si>
  <si>
    <t>xcoord</t>
  </si>
  <si>
    <t>ycoord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</si>
</sst>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49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ai\OneDrive\Desktop\Master's%20Thesis\Viirs77-Sol.csv" TargetMode="External"/><Relationship Id="rId1" Type="http://schemas.openxmlformats.org/officeDocument/2006/relationships/externalLinkPath" Target="Viirs77-Sol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ai\OneDrive\Desktop\Master's%20Thesis\Viirs77-Mean.csv" TargetMode="External"/><Relationship Id="rId1" Type="http://schemas.openxmlformats.org/officeDocument/2006/relationships/externalLinkPath" Target="Viirs77-Mean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ai\OneDrive\Desktop\Master's%20Thesis\Pop95-21-77.xlsx" TargetMode="External"/><Relationship Id="rId1" Type="http://schemas.openxmlformats.org/officeDocument/2006/relationships/externalLinkPath" Target="Pop95-21-7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ai\OneDrive\Desktop\Master's%20Thesis\TH_xy.csv" TargetMode="External"/><Relationship Id="rId1" Type="http://schemas.openxmlformats.org/officeDocument/2006/relationships/externalLinkPath" Target="TH_x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irs77-Sol"/>
    </sheetNames>
    <sheetDataSet>
      <sheetData sheetId="0">
        <row r="2">
          <cell r="A2" t="str">
            <v>TH-39</v>
          </cell>
          <cell r="C2" t="str">
            <v>Nongbua Lamphu</v>
          </cell>
          <cell r="D2">
            <v>2013</v>
          </cell>
          <cell r="E2">
            <v>4930.8722280000002</v>
          </cell>
        </row>
        <row r="3">
          <cell r="A3" t="str">
            <v>TH-24</v>
          </cell>
          <cell r="C3" t="str">
            <v>Chachoengsao</v>
          </cell>
          <cell r="D3">
            <v>2013</v>
          </cell>
          <cell r="E3">
            <v>24822.401450000001</v>
          </cell>
        </row>
        <row r="4">
          <cell r="A4" t="str">
            <v>TH-32</v>
          </cell>
          <cell r="C4" t="str">
            <v>Surin</v>
          </cell>
          <cell r="D4">
            <v>2013</v>
          </cell>
          <cell r="E4">
            <v>7449.2013440000001</v>
          </cell>
        </row>
        <row r="5">
          <cell r="A5" t="str">
            <v>TH-30</v>
          </cell>
          <cell r="C5" t="str">
            <v>Nakhon Ratchasima</v>
          </cell>
          <cell r="D5">
            <v>2013</v>
          </cell>
          <cell r="E5">
            <v>40985.466</v>
          </cell>
        </row>
        <row r="6">
          <cell r="A6" t="str">
            <v>TH-64</v>
          </cell>
          <cell r="C6" t="str">
            <v>Sukhothai</v>
          </cell>
          <cell r="D6">
            <v>2013</v>
          </cell>
          <cell r="E6">
            <v>10022.082640000001</v>
          </cell>
        </row>
        <row r="7">
          <cell r="A7" t="str">
            <v>TH-76</v>
          </cell>
          <cell r="C7" t="str">
            <v>Phetchaburi</v>
          </cell>
          <cell r="D7">
            <v>2013</v>
          </cell>
          <cell r="E7">
            <v>19926.08236</v>
          </cell>
        </row>
        <row r="8">
          <cell r="A8" t="str">
            <v>TH-36</v>
          </cell>
          <cell r="C8" t="str">
            <v>Chaiyaphum</v>
          </cell>
          <cell r="D8">
            <v>2013</v>
          </cell>
          <cell r="E8">
            <v>12287.872460000001</v>
          </cell>
        </row>
        <row r="9">
          <cell r="A9" t="str">
            <v>TH-67</v>
          </cell>
          <cell r="C9" t="str">
            <v>Phetchabun</v>
          </cell>
          <cell r="D9">
            <v>2013</v>
          </cell>
          <cell r="E9">
            <v>12178.66726</v>
          </cell>
        </row>
        <row r="10">
          <cell r="A10" t="str">
            <v>TH-84</v>
          </cell>
          <cell r="C10" t="str">
            <v>Surat Thani</v>
          </cell>
          <cell r="D10">
            <v>2013</v>
          </cell>
          <cell r="E10">
            <v>20372.436379999999</v>
          </cell>
        </row>
        <row r="11">
          <cell r="A11" t="str">
            <v>TH-33</v>
          </cell>
          <cell r="C11" t="str">
            <v>Si Sa Ket</v>
          </cell>
          <cell r="D11">
            <v>2013</v>
          </cell>
          <cell r="E11">
            <v>7595.9536019999996</v>
          </cell>
        </row>
        <row r="12">
          <cell r="A12" t="str">
            <v>TH-43</v>
          </cell>
          <cell r="C12" t="str">
            <v>Nong Khai</v>
          </cell>
          <cell r="D12">
            <v>2013</v>
          </cell>
          <cell r="E12">
            <v>5697.1198089999998</v>
          </cell>
        </row>
        <row r="13">
          <cell r="A13" t="str">
            <v>TH-10</v>
          </cell>
          <cell r="C13" t="str">
            <v>Bangkok</v>
          </cell>
          <cell r="D13">
            <v>2013</v>
          </cell>
          <cell r="E13">
            <v>134055.75570000001</v>
          </cell>
        </row>
        <row r="14">
          <cell r="A14" t="str">
            <v>TH-40</v>
          </cell>
          <cell r="C14" t="str">
            <v>Khon Kaen</v>
          </cell>
          <cell r="D14">
            <v>2013</v>
          </cell>
          <cell r="E14">
            <v>27827.829969999999</v>
          </cell>
        </row>
        <row r="15">
          <cell r="A15" t="str">
            <v>TH-42</v>
          </cell>
          <cell r="C15" t="str">
            <v>Loei</v>
          </cell>
          <cell r="D15">
            <v>2013</v>
          </cell>
          <cell r="E15">
            <v>7078.5696779999998</v>
          </cell>
        </row>
        <row r="16">
          <cell r="A16" t="str">
            <v>TH-19</v>
          </cell>
          <cell r="C16" t="str">
            <v>Saraburi</v>
          </cell>
          <cell r="D16">
            <v>2013</v>
          </cell>
          <cell r="E16">
            <v>30214.43057</v>
          </cell>
        </row>
        <row r="17">
          <cell r="A17" t="str">
            <v>TH-61</v>
          </cell>
          <cell r="C17" t="str">
            <v>Uthai Thani</v>
          </cell>
          <cell r="D17">
            <v>2013</v>
          </cell>
          <cell r="E17">
            <v>5079.4635099999996</v>
          </cell>
        </row>
        <row r="18">
          <cell r="A18" t="str">
            <v>TH-86</v>
          </cell>
          <cell r="C18" t="str">
            <v>Chumphon</v>
          </cell>
          <cell r="D18">
            <v>2013</v>
          </cell>
          <cell r="E18">
            <v>8782.6266749999995</v>
          </cell>
        </row>
        <row r="19">
          <cell r="A19" t="str">
            <v>TH-46</v>
          </cell>
          <cell r="C19" t="str">
            <v>Kalasin</v>
          </cell>
          <cell r="D19">
            <v>2013</v>
          </cell>
          <cell r="E19">
            <v>10765.756380000001</v>
          </cell>
        </row>
        <row r="20">
          <cell r="A20" t="str">
            <v>TH-65</v>
          </cell>
          <cell r="C20" t="str">
            <v>Phitsanulok</v>
          </cell>
          <cell r="D20">
            <v>2013</v>
          </cell>
          <cell r="E20">
            <v>15405.103300000001</v>
          </cell>
        </row>
        <row r="21">
          <cell r="A21" t="str">
            <v>TH-85</v>
          </cell>
          <cell r="C21" t="str">
            <v>Ranong</v>
          </cell>
          <cell r="D21">
            <v>2013</v>
          </cell>
          <cell r="E21">
            <v>3352.2163919999998</v>
          </cell>
        </row>
        <row r="22">
          <cell r="A22" t="str">
            <v>TH-41</v>
          </cell>
          <cell r="C22" t="str">
            <v>Udon Thani</v>
          </cell>
          <cell r="D22">
            <v>2013</v>
          </cell>
          <cell r="E22">
            <v>17921.333320000002</v>
          </cell>
        </row>
        <row r="23">
          <cell r="A23" t="str">
            <v>TH-47</v>
          </cell>
          <cell r="C23" t="str">
            <v>Sakon Nakhon</v>
          </cell>
          <cell r="D23">
            <v>2013</v>
          </cell>
          <cell r="E23">
            <v>9446.6463860000003</v>
          </cell>
        </row>
        <row r="24">
          <cell r="A24" t="str">
            <v>TH-57</v>
          </cell>
          <cell r="C24" t="str">
            <v>Chiang Rai</v>
          </cell>
          <cell r="D24">
            <v>2013</v>
          </cell>
          <cell r="E24">
            <v>15327.414860000001</v>
          </cell>
        </row>
        <row r="25">
          <cell r="A25" t="str">
            <v>TH-63</v>
          </cell>
          <cell r="C25" t="str">
            <v>Tak</v>
          </cell>
          <cell r="D25">
            <v>2013</v>
          </cell>
          <cell r="E25">
            <v>7411.6086160000004</v>
          </cell>
        </row>
        <row r="26">
          <cell r="A26" t="str">
            <v>TH-14</v>
          </cell>
          <cell r="C26" t="str">
            <v>Phra Nakhon Sri Ayuthaya</v>
          </cell>
          <cell r="D26">
            <v>2013</v>
          </cell>
          <cell r="E26">
            <v>37443.04189</v>
          </cell>
        </row>
        <row r="27">
          <cell r="A27" t="str">
            <v>TH-66</v>
          </cell>
          <cell r="C27" t="str">
            <v>Phichit</v>
          </cell>
          <cell r="D27">
            <v>2013</v>
          </cell>
          <cell r="E27">
            <v>6523.9187199999997</v>
          </cell>
        </row>
        <row r="28">
          <cell r="A28" t="str">
            <v>TH-93</v>
          </cell>
          <cell r="C28" t="str">
            <v>Phatthalung</v>
          </cell>
          <cell r="D28">
            <v>2013</v>
          </cell>
          <cell r="E28">
            <v>4889.9739900000004</v>
          </cell>
        </row>
        <row r="29">
          <cell r="A29" t="str">
            <v>TH-82</v>
          </cell>
          <cell r="C29" t="str">
            <v>Phangnga</v>
          </cell>
          <cell r="D29">
            <v>2013</v>
          </cell>
          <cell r="E29">
            <v>5977.9225379999998</v>
          </cell>
        </row>
        <row r="30">
          <cell r="A30" t="str">
            <v>TH-94</v>
          </cell>
          <cell r="C30" t="str">
            <v>Pattani</v>
          </cell>
          <cell r="D30">
            <v>2013</v>
          </cell>
          <cell r="E30">
            <v>8104.6941239999996</v>
          </cell>
        </row>
        <row r="31">
          <cell r="A31" t="str">
            <v>TH-13</v>
          </cell>
          <cell r="C31" t="str">
            <v>Pathum Thani</v>
          </cell>
          <cell r="D31">
            <v>2013</v>
          </cell>
          <cell r="E31">
            <v>44065.517959999997</v>
          </cell>
        </row>
        <row r="32">
          <cell r="A32" t="str">
            <v>TH-80</v>
          </cell>
          <cell r="C32" t="str">
            <v>Nakhon Si Thammarat</v>
          </cell>
          <cell r="D32">
            <v>2013</v>
          </cell>
          <cell r="E32">
            <v>17914.08815</v>
          </cell>
        </row>
        <row r="33">
          <cell r="A33" t="str">
            <v>TH-26</v>
          </cell>
          <cell r="C33" t="str">
            <v>Nakhon Nayok</v>
          </cell>
          <cell r="D33">
            <v>2013</v>
          </cell>
          <cell r="E33">
            <v>5137.46155</v>
          </cell>
        </row>
        <row r="34">
          <cell r="A34" t="str">
            <v>TH-49</v>
          </cell>
          <cell r="C34" t="str">
            <v>Mukdahan</v>
          </cell>
          <cell r="D34">
            <v>2013</v>
          </cell>
          <cell r="E34">
            <v>3796.484207</v>
          </cell>
        </row>
        <row r="35">
          <cell r="A35" t="str">
            <v>TH-16</v>
          </cell>
          <cell r="C35" t="str">
            <v>Lop Buri</v>
          </cell>
          <cell r="D35">
            <v>2013</v>
          </cell>
          <cell r="E35">
            <v>12971.605750000001</v>
          </cell>
        </row>
        <row r="36">
          <cell r="A36" t="str">
            <v>TH-81</v>
          </cell>
          <cell r="C36" t="str">
            <v>Krabi</v>
          </cell>
          <cell r="D36">
            <v>2013</v>
          </cell>
          <cell r="E36">
            <v>7554.6378050000003</v>
          </cell>
        </row>
        <row r="37">
          <cell r="A37" t="str">
            <v>TH-20</v>
          </cell>
          <cell r="C37" t="str">
            <v>Chon Buri</v>
          </cell>
          <cell r="D37">
            <v>2013</v>
          </cell>
          <cell r="E37">
            <v>82514.233290000004</v>
          </cell>
        </row>
        <row r="38">
          <cell r="A38" t="str">
            <v>TH-50</v>
          </cell>
          <cell r="C38" t="str">
            <v>Chiang Mai</v>
          </cell>
          <cell r="D38">
            <v>2013</v>
          </cell>
          <cell r="E38">
            <v>32669.68058</v>
          </cell>
        </row>
        <row r="39">
          <cell r="A39" t="str">
            <v>TH-18</v>
          </cell>
          <cell r="C39" t="str">
            <v>Chai Nat</v>
          </cell>
          <cell r="D39">
            <v>2013</v>
          </cell>
          <cell r="E39">
            <v>6027.2656459999998</v>
          </cell>
        </row>
        <row r="40">
          <cell r="A40" t="str">
            <v>TH-37</v>
          </cell>
          <cell r="C40" t="str">
            <v>Amnat Chareon</v>
          </cell>
          <cell r="D40">
            <v>2013</v>
          </cell>
          <cell r="E40">
            <v>2883.083897</v>
          </cell>
        </row>
        <row r="41">
          <cell r="A41" t="str">
            <v>TH-74</v>
          </cell>
          <cell r="C41" t="str">
            <v>Samut Sakhon</v>
          </cell>
          <cell r="D41">
            <v>2013</v>
          </cell>
          <cell r="E41">
            <v>19882.080440000002</v>
          </cell>
        </row>
        <row r="42">
          <cell r="A42" t="str">
            <v>TH-11</v>
          </cell>
          <cell r="C42" t="str">
            <v>Samut Prakan</v>
          </cell>
          <cell r="D42">
            <v>2013</v>
          </cell>
          <cell r="E42">
            <v>53176.225100000003</v>
          </cell>
        </row>
        <row r="43">
          <cell r="A43" t="str">
            <v>TH-55</v>
          </cell>
          <cell r="C43" t="str">
            <v>Nan</v>
          </cell>
          <cell r="D43">
            <v>2013</v>
          </cell>
          <cell r="E43">
            <v>4546.1699159999998</v>
          </cell>
        </row>
        <row r="44">
          <cell r="A44" t="str">
            <v>TH-22</v>
          </cell>
          <cell r="C44" t="str">
            <v>Chanthaburi</v>
          </cell>
          <cell r="D44">
            <v>2013</v>
          </cell>
          <cell r="E44">
            <v>9095.5704519999999</v>
          </cell>
        </row>
        <row r="45">
          <cell r="A45" t="str">
            <v>TH-48</v>
          </cell>
          <cell r="C45" t="str">
            <v>Nakhon Phanom</v>
          </cell>
          <cell r="D45">
            <v>2013</v>
          </cell>
          <cell r="E45">
            <v>8054.760542</v>
          </cell>
        </row>
        <row r="46">
          <cell r="A46" t="str">
            <v>TH-71</v>
          </cell>
          <cell r="C46" t="str">
            <v>Kanchanaburi</v>
          </cell>
          <cell r="D46">
            <v>2013</v>
          </cell>
          <cell r="E46">
            <v>18700.450690000001</v>
          </cell>
        </row>
        <row r="47">
          <cell r="A47" t="str">
            <v>TH-58</v>
          </cell>
          <cell r="C47" t="str">
            <v>Mae Hong Son</v>
          </cell>
          <cell r="D47">
            <v>2013</v>
          </cell>
          <cell r="E47">
            <v>1653.6499839999999</v>
          </cell>
        </row>
        <row r="48">
          <cell r="A48" t="str">
            <v>TH-27</v>
          </cell>
          <cell r="C48" t="str">
            <v>Sa Kaew</v>
          </cell>
          <cell r="D48">
            <v>2013</v>
          </cell>
          <cell r="E48">
            <v>6488.3188959999998</v>
          </cell>
        </row>
        <row r="49">
          <cell r="A49" t="str">
            <v>TH-91</v>
          </cell>
          <cell r="C49" t="str">
            <v>Satun</v>
          </cell>
          <cell r="D49">
            <v>2013</v>
          </cell>
          <cell r="E49">
            <v>5798.6869859999997</v>
          </cell>
        </row>
        <row r="50">
          <cell r="A50" t="str">
            <v>TH-73</v>
          </cell>
          <cell r="C50" t="str">
            <v>Nakhon Pathom</v>
          </cell>
          <cell r="D50">
            <v>2013</v>
          </cell>
          <cell r="E50">
            <v>33378.375590000003</v>
          </cell>
        </row>
        <row r="51">
          <cell r="A51" t="str">
            <v>TH-51</v>
          </cell>
          <cell r="C51" t="str">
            <v>Lamphun</v>
          </cell>
          <cell r="D51">
            <v>2013</v>
          </cell>
          <cell r="E51">
            <v>7477.5663350000004</v>
          </cell>
        </row>
        <row r="52">
          <cell r="A52" t="str">
            <v>TH-23</v>
          </cell>
          <cell r="C52" t="str">
            <v>Trat</v>
          </cell>
          <cell r="D52">
            <v>2013</v>
          </cell>
          <cell r="E52">
            <v>2709.3412250000001</v>
          </cell>
        </row>
        <row r="53">
          <cell r="A53" t="str">
            <v>TH-70</v>
          </cell>
          <cell r="C53" t="str">
            <v>Ratchaburi</v>
          </cell>
          <cell r="D53">
            <v>2013</v>
          </cell>
          <cell r="E53">
            <v>24442.740849999998</v>
          </cell>
        </row>
        <row r="54">
          <cell r="A54" t="str">
            <v>TH-35</v>
          </cell>
          <cell r="C54" t="str">
            <v>Yasothon</v>
          </cell>
          <cell r="D54">
            <v>2013</v>
          </cell>
          <cell r="E54">
            <v>4784.6269069999998</v>
          </cell>
        </row>
        <row r="55">
          <cell r="A55" t="str">
            <v>TH-54</v>
          </cell>
          <cell r="C55" t="str">
            <v>Phrae</v>
          </cell>
          <cell r="D55">
            <v>2013</v>
          </cell>
          <cell r="E55">
            <v>6216.6689059999999</v>
          </cell>
        </row>
        <row r="56">
          <cell r="A56" t="str">
            <v>TH-95</v>
          </cell>
          <cell r="C56" t="str">
            <v>Yala</v>
          </cell>
          <cell r="D56">
            <v>2013</v>
          </cell>
          <cell r="E56">
            <v>7122.4746269999996</v>
          </cell>
        </row>
        <row r="57">
          <cell r="A57" t="str">
            <v>TH-53</v>
          </cell>
          <cell r="C57" t="str">
            <v>Uttaradit</v>
          </cell>
          <cell r="D57">
            <v>2013</v>
          </cell>
          <cell r="E57">
            <v>6618.8313179999996</v>
          </cell>
        </row>
        <row r="58">
          <cell r="A58" t="str">
            <v>TH-31</v>
          </cell>
          <cell r="C58" t="str">
            <v>Buri Ram</v>
          </cell>
          <cell r="D58">
            <v>2013</v>
          </cell>
          <cell r="E58">
            <v>10931.73683</v>
          </cell>
        </row>
        <row r="59">
          <cell r="A59" t="str">
            <v>TH-62</v>
          </cell>
          <cell r="C59" t="str">
            <v>Kam Phaeng Phet</v>
          </cell>
          <cell r="D59">
            <v>2013</v>
          </cell>
          <cell r="E59">
            <v>12347.360049999999</v>
          </cell>
        </row>
        <row r="60">
          <cell r="A60" t="str">
            <v>TH-52</v>
          </cell>
          <cell r="C60" t="str">
            <v>Lampang</v>
          </cell>
          <cell r="D60">
            <v>2013</v>
          </cell>
          <cell r="E60">
            <v>13799.53976</v>
          </cell>
        </row>
        <row r="61">
          <cell r="A61" t="str">
            <v>TH-12</v>
          </cell>
          <cell r="C61" t="str">
            <v>Nonthaburi</v>
          </cell>
          <cell r="D61">
            <v>2013</v>
          </cell>
          <cell r="E61">
            <v>29138.704570000002</v>
          </cell>
        </row>
        <row r="62">
          <cell r="A62" t="str">
            <v>TH-38</v>
          </cell>
          <cell r="C62" t="str">
            <v>Bueng Kan</v>
          </cell>
          <cell r="D62">
            <v>2013</v>
          </cell>
          <cell r="E62">
            <v>3279.2251000000001</v>
          </cell>
        </row>
        <row r="63">
          <cell r="A63" t="str">
            <v>TH-96</v>
          </cell>
          <cell r="C63" t="str">
            <v>Narathiwat</v>
          </cell>
          <cell r="D63">
            <v>2013</v>
          </cell>
          <cell r="E63">
            <v>7598.8330740000001</v>
          </cell>
        </row>
        <row r="64">
          <cell r="A64" t="str">
            <v>TH-34</v>
          </cell>
          <cell r="C64" t="str">
            <v>Ubon Ratchathani</v>
          </cell>
          <cell r="D64">
            <v>2013</v>
          </cell>
          <cell r="E64">
            <v>16089.071599999999</v>
          </cell>
        </row>
        <row r="65">
          <cell r="A65" t="str">
            <v>TH-77</v>
          </cell>
          <cell r="C65" t="str">
            <v>Phachuap Khiri Khan</v>
          </cell>
          <cell r="D65">
            <v>2013</v>
          </cell>
          <cell r="E65">
            <v>15072.00491</v>
          </cell>
        </row>
        <row r="66">
          <cell r="A66" t="str">
            <v>TH-90</v>
          </cell>
          <cell r="C66" t="str">
            <v>Songkhla</v>
          </cell>
          <cell r="D66">
            <v>2013</v>
          </cell>
          <cell r="E66">
            <v>28370.462319999999</v>
          </cell>
        </row>
        <row r="67">
          <cell r="A67" t="str">
            <v>TH-83</v>
          </cell>
          <cell r="C67" t="str">
            <v>Phuket</v>
          </cell>
          <cell r="D67">
            <v>2013</v>
          </cell>
          <cell r="E67">
            <v>15593.356889999999</v>
          </cell>
        </row>
        <row r="68">
          <cell r="A68" t="str">
            <v>TH-15</v>
          </cell>
          <cell r="C68" t="str">
            <v>Ang Thong</v>
          </cell>
          <cell r="D68">
            <v>2013</v>
          </cell>
          <cell r="E68">
            <v>6298.0698339999999</v>
          </cell>
        </row>
        <row r="69">
          <cell r="A69" t="str">
            <v>TH-44</v>
          </cell>
          <cell r="C69" t="str">
            <v>Maha Sarakham</v>
          </cell>
          <cell r="D69">
            <v>2013</v>
          </cell>
          <cell r="E69">
            <v>10244.45772</v>
          </cell>
        </row>
        <row r="70">
          <cell r="A70" t="str">
            <v>TH-92</v>
          </cell>
          <cell r="C70" t="str">
            <v>Trang</v>
          </cell>
          <cell r="D70">
            <v>2013</v>
          </cell>
          <cell r="E70">
            <v>8678.9665139999997</v>
          </cell>
        </row>
        <row r="71">
          <cell r="A71" t="str">
            <v>TH-72</v>
          </cell>
          <cell r="C71" t="str">
            <v>Suphan Buri</v>
          </cell>
          <cell r="D71">
            <v>2013</v>
          </cell>
          <cell r="E71">
            <v>20017.599099999999</v>
          </cell>
        </row>
        <row r="72">
          <cell r="A72" t="str">
            <v>TH-17</v>
          </cell>
          <cell r="C72" t="str">
            <v>Singburi</v>
          </cell>
          <cell r="D72">
            <v>2013</v>
          </cell>
          <cell r="E72">
            <v>5299.7184340000003</v>
          </cell>
        </row>
        <row r="73">
          <cell r="A73" t="str">
            <v>TH-75</v>
          </cell>
          <cell r="C73" t="str">
            <v>Samut Songkhram</v>
          </cell>
          <cell r="D73">
            <v>2013</v>
          </cell>
          <cell r="E73">
            <v>4583.1994020000002</v>
          </cell>
        </row>
        <row r="74">
          <cell r="A74" t="str">
            <v>TH-21</v>
          </cell>
          <cell r="C74" t="str">
            <v>Rayong</v>
          </cell>
          <cell r="D74">
            <v>2013</v>
          </cell>
          <cell r="E74">
            <v>66106.507159999994</v>
          </cell>
        </row>
        <row r="75">
          <cell r="A75" t="str">
            <v>TH-25</v>
          </cell>
          <cell r="C75" t="str">
            <v>Prachin Buri</v>
          </cell>
          <cell r="D75">
            <v>2013</v>
          </cell>
          <cell r="E75">
            <v>15537.3737</v>
          </cell>
        </row>
        <row r="76">
          <cell r="A76" t="str">
            <v>TH-45</v>
          </cell>
          <cell r="C76" t="str">
            <v>Roi Et</v>
          </cell>
          <cell r="D76">
            <v>2013</v>
          </cell>
          <cell r="E76">
            <v>11190.95933</v>
          </cell>
        </row>
        <row r="77">
          <cell r="A77" t="str">
            <v>TH-56</v>
          </cell>
          <cell r="C77" t="str">
            <v>Phayao</v>
          </cell>
          <cell r="D77">
            <v>2013</v>
          </cell>
          <cell r="E77">
            <v>4628.2368580000002</v>
          </cell>
        </row>
        <row r="78">
          <cell r="A78" t="str">
            <v>TH-60</v>
          </cell>
          <cell r="C78" t="str">
            <v>Nakhon Sawan</v>
          </cell>
          <cell r="D78">
            <v>2013</v>
          </cell>
          <cell r="E78">
            <v>14865.73436</v>
          </cell>
        </row>
        <row r="79">
          <cell r="A79" t="str">
            <v>TH-39</v>
          </cell>
          <cell r="C79" t="str">
            <v>Nongbua Lamphu</v>
          </cell>
          <cell r="D79">
            <v>2014</v>
          </cell>
          <cell r="E79">
            <v>5117.8156060000001</v>
          </cell>
        </row>
        <row r="80">
          <cell r="A80" t="str">
            <v>TH-24</v>
          </cell>
          <cell r="C80" t="str">
            <v>Chachoengsao</v>
          </cell>
          <cell r="D80">
            <v>2014</v>
          </cell>
          <cell r="E80">
            <v>28064.425579999999</v>
          </cell>
        </row>
        <row r="81">
          <cell r="A81" t="str">
            <v>TH-32</v>
          </cell>
          <cell r="C81" t="str">
            <v>Surin</v>
          </cell>
          <cell r="D81">
            <v>2014</v>
          </cell>
          <cell r="E81">
            <v>7725.2210219999997</v>
          </cell>
        </row>
        <row r="82">
          <cell r="A82" t="str">
            <v>TH-30</v>
          </cell>
          <cell r="C82" t="str">
            <v>Nakhon Ratchasima</v>
          </cell>
          <cell r="D82">
            <v>2014</v>
          </cell>
          <cell r="E82">
            <v>41439.66921</v>
          </cell>
        </row>
        <row r="83">
          <cell r="A83" t="str">
            <v>TH-64</v>
          </cell>
          <cell r="C83" t="str">
            <v>Sukhothai</v>
          </cell>
          <cell r="D83">
            <v>2014</v>
          </cell>
          <cell r="E83">
            <v>9204.4444079999994</v>
          </cell>
        </row>
        <row r="84">
          <cell r="A84" t="str">
            <v>TH-76</v>
          </cell>
          <cell r="C84" t="str">
            <v>Phetchaburi</v>
          </cell>
          <cell r="D84">
            <v>2014</v>
          </cell>
          <cell r="E84">
            <v>21974.52421</v>
          </cell>
        </row>
        <row r="85">
          <cell r="A85" t="str">
            <v>TH-36</v>
          </cell>
          <cell r="C85" t="str">
            <v>Chaiyaphum</v>
          </cell>
          <cell r="D85">
            <v>2014</v>
          </cell>
          <cell r="E85">
            <v>12570.80809</v>
          </cell>
        </row>
        <row r="86">
          <cell r="A86" t="str">
            <v>TH-67</v>
          </cell>
          <cell r="C86" t="str">
            <v>Phetchabun</v>
          </cell>
          <cell r="D86">
            <v>2014</v>
          </cell>
          <cell r="E86">
            <v>12448.25693</v>
          </cell>
        </row>
        <row r="87">
          <cell r="A87" t="str">
            <v>TH-84</v>
          </cell>
          <cell r="C87" t="str">
            <v>Surat Thani</v>
          </cell>
          <cell r="D87">
            <v>2014</v>
          </cell>
          <cell r="E87">
            <v>20821.21804</v>
          </cell>
        </row>
        <row r="88">
          <cell r="A88" t="str">
            <v>TH-33</v>
          </cell>
          <cell r="C88" t="str">
            <v>Si Sa Ket</v>
          </cell>
          <cell r="D88">
            <v>2014</v>
          </cell>
          <cell r="E88">
            <v>7733.9233519999998</v>
          </cell>
        </row>
        <row r="89">
          <cell r="A89" t="str">
            <v>TH-43</v>
          </cell>
          <cell r="C89" t="str">
            <v>Nong Khai</v>
          </cell>
          <cell r="D89">
            <v>2014</v>
          </cell>
          <cell r="E89">
            <v>5762.5261410000003</v>
          </cell>
        </row>
        <row r="90">
          <cell r="A90" t="str">
            <v>TH-10</v>
          </cell>
          <cell r="C90" t="str">
            <v>Bangkok</v>
          </cell>
          <cell r="D90">
            <v>2014</v>
          </cell>
          <cell r="E90">
            <v>141994.30850000001</v>
          </cell>
        </row>
        <row r="91">
          <cell r="A91" t="str">
            <v>TH-40</v>
          </cell>
          <cell r="C91" t="str">
            <v>Khon Kaen</v>
          </cell>
          <cell r="D91">
            <v>2014</v>
          </cell>
          <cell r="E91">
            <v>28259.716130000001</v>
          </cell>
        </row>
        <row r="92">
          <cell r="A92" t="str">
            <v>TH-42</v>
          </cell>
          <cell r="C92" t="str">
            <v>Loei</v>
          </cell>
          <cell r="D92">
            <v>2014</v>
          </cell>
          <cell r="E92">
            <v>7033.330113</v>
          </cell>
        </row>
        <row r="93">
          <cell r="A93" t="str">
            <v>TH-19</v>
          </cell>
          <cell r="C93" t="str">
            <v>Saraburi</v>
          </cell>
          <cell r="D93">
            <v>2014</v>
          </cell>
          <cell r="E93">
            <v>33759.617200000001</v>
          </cell>
        </row>
        <row r="94">
          <cell r="A94" t="str">
            <v>TH-61</v>
          </cell>
          <cell r="C94" t="str">
            <v>Uthai Thani</v>
          </cell>
          <cell r="D94">
            <v>2014</v>
          </cell>
          <cell r="E94">
            <v>5374.6382059999996</v>
          </cell>
        </row>
        <row r="95">
          <cell r="A95" t="str">
            <v>TH-86</v>
          </cell>
          <cell r="C95" t="str">
            <v>Chumphon</v>
          </cell>
          <cell r="D95">
            <v>2014</v>
          </cell>
          <cell r="E95">
            <v>8742.3558099999991</v>
          </cell>
        </row>
        <row r="96">
          <cell r="A96" t="str">
            <v>TH-46</v>
          </cell>
          <cell r="C96" t="str">
            <v>Kalasin</v>
          </cell>
          <cell r="D96">
            <v>2014</v>
          </cell>
          <cell r="E96">
            <v>10457.747369999999</v>
          </cell>
        </row>
        <row r="97">
          <cell r="A97" t="str">
            <v>TH-65</v>
          </cell>
          <cell r="C97" t="str">
            <v>Phitsanulok</v>
          </cell>
          <cell r="D97">
            <v>2014</v>
          </cell>
          <cell r="E97">
            <v>14090.02526</v>
          </cell>
        </row>
        <row r="98">
          <cell r="A98" t="str">
            <v>TH-85</v>
          </cell>
          <cell r="C98" t="str">
            <v>Ranong</v>
          </cell>
          <cell r="D98">
            <v>2014</v>
          </cell>
          <cell r="E98">
            <v>3607.034189</v>
          </cell>
        </row>
        <row r="99">
          <cell r="A99" t="str">
            <v>TH-41</v>
          </cell>
          <cell r="C99" t="str">
            <v>Udon Thani</v>
          </cell>
          <cell r="D99">
            <v>2014</v>
          </cell>
          <cell r="E99">
            <v>16415.290079999999</v>
          </cell>
        </row>
        <row r="100">
          <cell r="A100" t="str">
            <v>TH-47</v>
          </cell>
          <cell r="C100" t="str">
            <v>Sakon Nakhon</v>
          </cell>
          <cell r="D100">
            <v>2014</v>
          </cell>
          <cell r="E100">
            <v>8879.4038139999993</v>
          </cell>
        </row>
        <row r="101">
          <cell r="A101" t="str">
            <v>TH-57</v>
          </cell>
          <cell r="C101" t="str">
            <v>Chiang Rai</v>
          </cell>
          <cell r="D101">
            <v>2014</v>
          </cell>
          <cell r="E101">
            <v>16862.458009999998</v>
          </cell>
        </row>
        <row r="102">
          <cell r="A102" t="str">
            <v>TH-63</v>
          </cell>
          <cell r="C102" t="str">
            <v>Tak</v>
          </cell>
          <cell r="D102">
            <v>2014</v>
          </cell>
          <cell r="E102">
            <v>8080.4421300000004</v>
          </cell>
        </row>
        <row r="103">
          <cell r="A103" t="str">
            <v>TH-14</v>
          </cell>
          <cell r="C103" t="str">
            <v>Phra Nakhon Sri Ayuthaya</v>
          </cell>
          <cell r="D103">
            <v>2014</v>
          </cell>
          <cell r="E103">
            <v>40786.414579999997</v>
          </cell>
        </row>
        <row r="104">
          <cell r="A104" t="str">
            <v>TH-66</v>
          </cell>
          <cell r="C104" t="str">
            <v>Phichit</v>
          </cell>
          <cell r="D104">
            <v>2014</v>
          </cell>
          <cell r="E104">
            <v>6672.5193230000004</v>
          </cell>
        </row>
        <row r="105">
          <cell r="A105" t="str">
            <v>TH-93</v>
          </cell>
          <cell r="C105" t="str">
            <v>Phatthalung</v>
          </cell>
          <cell r="D105">
            <v>2014</v>
          </cell>
          <cell r="E105">
            <v>5998.8848310000003</v>
          </cell>
        </row>
        <row r="106">
          <cell r="A106" t="str">
            <v>TH-82</v>
          </cell>
          <cell r="C106" t="str">
            <v>Phangnga</v>
          </cell>
          <cell r="D106">
            <v>2014</v>
          </cell>
          <cell r="E106">
            <v>6195.2050559999998</v>
          </cell>
        </row>
        <row r="107">
          <cell r="A107" t="str">
            <v>TH-94</v>
          </cell>
          <cell r="C107" t="str">
            <v>Pattani</v>
          </cell>
          <cell r="D107">
            <v>2014</v>
          </cell>
          <cell r="E107">
            <v>8838.2863039999993</v>
          </cell>
        </row>
        <row r="108">
          <cell r="A108" t="str">
            <v>TH-13</v>
          </cell>
          <cell r="C108" t="str">
            <v>Pathum Thani</v>
          </cell>
          <cell r="D108">
            <v>2014</v>
          </cell>
          <cell r="E108">
            <v>47738.116179999997</v>
          </cell>
        </row>
        <row r="109">
          <cell r="A109" t="str">
            <v>TH-80</v>
          </cell>
          <cell r="C109" t="str">
            <v>Nakhon Si Thammarat</v>
          </cell>
          <cell r="D109">
            <v>2014</v>
          </cell>
          <cell r="E109">
            <v>19300.085899999998</v>
          </cell>
        </row>
        <row r="110">
          <cell r="A110" t="str">
            <v>TH-26</v>
          </cell>
          <cell r="C110" t="str">
            <v>Nakhon Nayok</v>
          </cell>
          <cell r="D110">
            <v>2014</v>
          </cell>
          <cell r="E110">
            <v>5955.1095880000003</v>
          </cell>
        </row>
        <row r="111">
          <cell r="A111" t="str">
            <v>TH-49</v>
          </cell>
          <cell r="C111" t="str">
            <v>Mukdahan</v>
          </cell>
          <cell r="D111">
            <v>2014</v>
          </cell>
          <cell r="E111">
            <v>3481.9052320000001</v>
          </cell>
        </row>
        <row r="112">
          <cell r="A112" t="str">
            <v>TH-16</v>
          </cell>
          <cell r="C112" t="str">
            <v>Lop Buri</v>
          </cell>
          <cell r="D112">
            <v>2014</v>
          </cell>
          <cell r="E112">
            <v>13012.895109999999</v>
          </cell>
        </row>
        <row r="113">
          <cell r="A113" t="str">
            <v>TH-81</v>
          </cell>
          <cell r="C113" t="str">
            <v>Krabi</v>
          </cell>
          <cell r="D113">
            <v>2014</v>
          </cell>
          <cell r="E113">
            <v>7683.123423</v>
          </cell>
        </row>
        <row r="114">
          <cell r="A114" t="str">
            <v>TH-20</v>
          </cell>
          <cell r="C114" t="str">
            <v>Chon Buri</v>
          </cell>
          <cell r="D114">
            <v>2014</v>
          </cell>
          <cell r="E114">
            <v>92436.627540000001</v>
          </cell>
        </row>
        <row r="115">
          <cell r="A115" t="str">
            <v>TH-50</v>
          </cell>
          <cell r="C115" t="str">
            <v>Chiang Mai</v>
          </cell>
          <cell r="D115">
            <v>2014</v>
          </cell>
          <cell r="E115">
            <v>36000.617610000001</v>
          </cell>
        </row>
        <row r="116">
          <cell r="A116" t="str">
            <v>TH-18</v>
          </cell>
          <cell r="C116" t="str">
            <v>Chai Nat</v>
          </cell>
          <cell r="D116">
            <v>2014</v>
          </cell>
          <cell r="E116">
            <v>6179.4211729999997</v>
          </cell>
        </row>
        <row r="117">
          <cell r="A117" t="str">
            <v>TH-37</v>
          </cell>
          <cell r="C117" t="str">
            <v>Amnat Chareon</v>
          </cell>
          <cell r="D117">
            <v>2014</v>
          </cell>
          <cell r="E117">
            <v>3171.605513</v>
          </cell>
        </row>
        <row r="118">
          <cell r="A118" t="str">
            <v>TH-74</v>
          </cell>
          <cell r="C118" t="str">
            <v>Samut Sakhon</v>
          </cell>
          <cell r="D118">
            <v>2014</v>
          </cell>
          <cell r="E118">
            <v>21288.000250000001</v>
          </cell>
        </row>
        <row r="119">
          <cell r="A119" t="str">
            <v>TH-11</v>
          </cell>
          <cell r="C119" t="str">
            <v>Samut Prakan</v>
          </cell>
          <cell r="D119">
            <v>2014</v>
          </cell>
          <cell r="E119">
            <v>58651.171439999998</v>
          </cell>
        </row>
        <row r="120">
          <cell r="A120" t="str">
            <v>TH-55</v>
          </cell>
          <cell r="C120" t="str">
            <v>Nan</v>
          </cell>
          <cell r="D120">
            <v>2014</v>
          </cell>
          <cell r="E120">
            <v>4567.4352509999999</v>
          </cell>
        </row>
        <row r="121">
          <cell r="A121" t="str">
            <v>TH-22</v>
          </cell>
          <cell r="C121" t="str">
            <v>Chanthaburi</v>
          </cell>
          <cell r="D121">
            <v>2014</v>
          </cell>
          <cell r="E121">
            <v>9933.6372890000002</v>
          </cell>
        </row>
        <row r="122">
          <cell r="A122" t="str">
            <v>TH-48</v>
          </cell>
          <cell r="C122" t="str">
            <v>Nakhon Phanom</v>
          </cell>
          <cell r="D122">
            <v>2014</v>
          </cell>
          <cell r="E122">
            <v>7749.8488829999997</v>
          </cell>
        </row>
        <row r="123">
          <cell r="A123" t="str">
            <v>TH-71</v>
          </cell>
          <cell r="C123" t="str">
            <v>Kanchanaburi</v>
          </cell>
          <cell r="D123">
            <v>2014</v>
          </cell>
          <cell r="E123">
            <v>18831.899679999999</v>
          </cell>
        </row>
        <row r="124">
          <cell r="A124" t="str">
            <v>TH-58</v>
          </cell>
          <cell r="C124" t="str">
            <v>Mae Hong Son</v>
          </cell>
          <cell r="D124">
            <v>2014</v>
          </cell>
          <cell r="E124">
            <v>1762.3876540000001</v>
          </cell>
        </row>
        <row r="125">
          <cell r="A125" t="str">
            <v>TH-27</v>
          </cell>
          <cell r="C125" t="str">
            <v>Sa Kaew</v>
          </cell>
          <cell r="D125">
            <v>2014</v>
          </cell>
          <cell r="E125">
            <v>6474.592815</v>
          </cell>
        </row>
        <row r="126">
          <cell r="A126" t="str">
            <v>TH-91</v>
          </cell>
          <cell r="C126" t="str">
            <v>Satun</v>
          </cell>
          <cell r="D126">
            <v>2014</v>
          </cell>
          <cell r="E126">
            <v>6435.7637269999996</v>
          </cell>
        </row>
        <row r="127">
          <cell r="A127" t="str">
            <v>TH-73</v>
          </cell>
          <cell r="C127" t="str">
            <v>Nakhon Pathom</v>
          </cell>
          <cell r="D127">
            <v>2014</v>
          </cell>
          <cell r="E127">
            <v>35279.954590000001</v>
          </cell>
        </row>
        <row r="128">
          <cell r="A128" t="str">
            <v>TH-51</v>
          </cell>
          <cell r="C128" t="str">
            <v>Lamphun</v>
          </cell>
          <cell r="D128">
            <v>2014</v>
          </cell>
          <cell r="E128">
            <v>8206.4119100000007</v>
          </cell>
        </row>
        <row r="129">
          <cell r="A129" t="str">
            <v>TH-23</v>
          </cell>
          <cell r="C129" t="str">
            <v>Trat</v>
          </cell>
          <cell r="D129">
            <v>2014</v>
          </cell>
          <cell r="E129">
            <v>2816.3246939999999</v>
          </cell>
        </row>
        <row r="130">
          <cell r="A130" t="str">
            <v>TH-70</v>
          </cell>
          <cell r="C130" t="str">
            <v>Ratchaburi</v>
          </cell>
          <cell r="D130">
            <v>2014</v>
          </cell>
          <cell r="E130">
            <v>26232.592240000002</v>
          </cell>
        </row>
        <row r="131">
          <cell r="A131" t="str">
            <v>TH-35</v>
          </cell>
          <cell r="C131" t="str">
            <v>Yasothon</v>
          </cell>
          <cell r="D131">
            <v>2014</v>
          </cell>
          <cell r="E131">
            <v>4787.4991129999999</v>
          </cell>
        </row>
        <row r="132">
          <cell r="A132" t="str">
            <v>TH-54</v>
          </cell>
          <cell r="C132" t="str">
            <v>Phrae</v>
          </cell>
          <cell r="D132">
            <v>2014</v>
          </cell>
          <cell r="E132">
            <v>6203.011759</v>
          </cell>
        </row>
        <row r="133">
          <cell r="A133" t="str">
            <v>TH-95</v>
          </cell>
          <cell r="C133" t="str">
            <v>Yala</v>
          </cell>
          <cell r="D133">
            <v>2014</v>
          </cell>
          <cell r="E133">
            <v>7837.3002550000001</v>
          </cell>
        </row>
        <row r="134">
          <cell r="A134" t="str">
            <v>TH-53</v>
          </cell>
          <cell r="C134" t="str">
            <v>Uttaradit</v>
          </cell>
          <cell r="D134">
            <v>2014</v>
          </cell>
          <cell r="E134">
            <v>6709.2559769999998</v>
          </cell>
        </row>
        <row r="135">
          <cell r="A135" t="str">
            <v>TH-31</v>
          </cell>
          <cell r="C135" t="str">
            <v>Buri Ram</v>
          </cell>
          <cell r="D135">
            <v>2014</v>
          </cell>
          <cell r="E135">
            <v>10621.858490000001</v>
          </cell>
        </row>
        <row r="136">
          <cell r="A136" t="str">
            <v>TH-62</v>
          </cell>
          <cell r="C136" t="str">
            <v>Kam Phaeng Phet</v>
          </cell>
          <cell r="D136">
            <v>2014</v>
          </cell>
          <cell r="E136">
            <v>11363.245999999999</v>
          </cell>
        </row>
        <row r="137">
          <cell r="A137" t="str">
            <v>TH-52</v>
          </cell>
          <cell r="C137" t="str">
            <v>Lampang</v>
          </cell>
          <cell r="D137">
            <v>2014</v>
          </cell>
          <cell r="E137">
            <v>13393.02881</v>
          </cell>
        </row>
        <row r="138">
          <cell r="A138" t="str">
            <v>TH-12</v>
          </cell>
          <cell r="C138" t="str">
            <v>Nonthaburi</v>
          </cell>
          <cell r="D138">
            <v>2014</v>
          </cell>
          <cell r="E138">
            <v>31957.05227</v>
          </cell>
        </row>
        <row r="139">
          <cell r="A139" t="str">
            <v>TH-38</v>
          </cell>
          <cell r="C139" t="str">
            <v>Bueng Kan</v>
          </cell>
          <cell r="D139">
            <v>2014</v>
          </cell>
          <cell r="E139">
            <v>3078.0303239999998</v>
          </cell>
        </row>
        <row r="140">
          <cell r="A140" t="str">
            <v>TH-96</v>
          </cell>
          <cell r="C140" t="str">
            <v>Narathiwat</v>
          </cell>
          <cell r="D140">
            <v>2014</v>
          </cell>
          <cell r="E140">
            <v>9092.1381999999994</v>
          </cell>
        </row>
        <row r="141">
          <cell r="A141" t="str">
            <v>TH-34</v>
          </cell>
          <cell r="C141" t="str">
            <v>Ubon Ratchathani</v>
          </cell>
          <cell r="D141">
            <v>2014</v>
          </cell>
          <cell r="E141">
            <v>16258.527179999999</v>
          </cell>
        </row>
        <row r="142">
          <cell r="A142" t="str">
            <v>TH-77</v>
          </cell>
          <cell r="C142" t="str">
            <v>Phachuap Khiri Khan</v>
          </cell>
          <cell r="D142">
            <v>2014</v>
          </cell>
          <cell r="E142">
            <v>15361.99992</v>
          </cell>
        </row>
        <row r="143">
          <cell r="A143" t="str">
            <v>TH-90</v>
          </cell>
          <cell r="C143" t="str">
            <v>Songkhla</v>
          </cell>
          <cell r="D143">
            <v>2014</v>
          </cell>
          <cell r="E143">
            <v>30606.004939999999</v>
          </cell>
        </row>
        <row r="144">
          <cell r="A144" t="str">
            <v>TH-83</v>
          </cell>
          <cell r="C144" t="str">
            <v>Phuket</v>
          </cell>
          <cell r="D144">
            <v>2014</v>
          </cell>
          <cell r="E144">
            <v>16568.553469999999</v>
          </cell>
        </row>
        <row r="145">
          <cell r="A145" t="str">
            <v>TH-15</v>
          </cell>
          <cell r="C145" t="str">
            <v>Ang Thong</v>
          </cell>
          <cell r="D145">
            <v>2014</v>
          </cell>
          <cell r="E145">
            <v>6799.9917649999998</v>
          </cell>
        </row>
        <row r="146">
          <cell r="A146" t="str">
            <v>TH-44</v>
          </cell>
          <cell r="C146" t="str">
            <v>Maha Sarakham</v>
          </cell>
          <cell r="D146">
            <v>2014</v>
          </cell>
          <cell r="E146">
            <v>10180.40294</v>
          </cell>
        </row>
        <row r="147">
          <cell r="A147" t="str">
            <v>TH-92</v>
          </cell>
          <cell r="C147" t="str">
            <v>Trang</v>
          </cell>
          <cell r="D147">
            <v>2014</v>
          </cell>
          <cell r="E147">
            <v>9755.7413620000007</v>
          </cell>
        </row>
        <row r="148">
          <cell r="A148" t="str">
            <v>TH-72</v>
          </cell>
          <cell r="C148" t="str">
            <v>Suphan Buri</v>
          </cell>
          <cell r="D148">
            <v>2014</v>
          </cell>
          <cell r="E148">
            <v>20074.595280000001</v>
          </cell>
        </row>
        <row r="149">
          <cell r="A149" t="str">
            <v>TH-17</v>
          </cell>
          <cell r="C149" t="str">
            <v>Singburi</v>
          </cell>
          <cell r="D149">
            <v>2014</v>
          </cell>
          <cell r="E149">
            <v>5690.6628849999997</v>
          </cell>
        </row>
        <row r="150">
          <cell r="A150" t="str">
            <v>TH-75</v>
          </cell>
          <cell r="C150" t="str">
            <v>Samut Songkhram</v>
          </cell>
          <cell r="D150">
            <v>2014</v>
          </cell>
          <cell r="E150">
            <v>4846.4362170000004</v>
          </cell>
        </row>
        <row r="151">
          <cell r="A151" t="str">
            <v>TH-21</v>
          </cell>
          <cell r="C151" t="str">
            <v>Rayong</v>
          </cell>
          <cell r="D151">
            <v>2014</v>
          </cell>
          <cell r="E151">
            <v>73667.092369999998</v>
          </cell>
        </row>
        <row r="152">
          <cell r="A152" t="str">
            <v>TH-25</v>
          </cell>
          <cell r="C152" t="str">
            <v>Prachin Buri</v>
          </cell>
          <cell r="D152">
            <v>2014</v>
          </cell>
          <cell r="E152">
            <v>17345.645079999998</v>
          </cell>
        </row>
        <row r="153">
          <cell r="A153" t="str">
            <v>TH-45</v>
          </cell>
          <cell r="C153" t="str">
            <v>Roi Et</v>
          </cell>
          <cell r="D153">
            <v>2014</v>
          </cell>
          <cell r="E153">
            <v>10367.501780000001</v>
          </cell>
        </row>
        <row r="154">
          <cell r="A154" t="str">
            <v>TH-56</v>
          </cell>
          <cell r="C154" t="str">
            <v>Phayao</v>
          </cell>
          <cell r="D154">
            <v>2014</v>
          </cell>
          <cell r="E154">
            <v>4814.7152059999999</v>
          </cell>
        </row>
        <row r="155">
          <cell r="A155" t="str">
            <v>TH-60</v>
          </cell>
          <cell r="C155" t="str">
            <v>Nakhon Sawan</v>
          </cell>
          <cell r="D155">
            <v>2014</v>
          </cell>
          <cell r="E155">
            <v>15056.60111</v>
          </cell>
        </row>
        <row r="156">
          <cell r="A156" t="str">
            <v>TH-39</v>
          </cell>
          <cell r="C156" t="str">
            <v>Nongbua Lamphu</v>
          </cell>
          <cell r="D156">
            <v>2015</v>
          </cell>
          <cell r="E156">
            <v>5686.3283949999995</v>
          </cell>
        </row>
        <row r="157">
          <cell r="A157" t="str">
            <v>TH-24</v>
          </cell>
          <cell r="C157" t="str">
            <v>Chachoengsao</v>
          </cell>
          <cell r="D157">
            <v>2015</v>
          </cell>
          <cell r="E157">
            <v>30468.60727</v>
          </cell>
        </row>
        <row r="158">
          <cell r="A158" t="str">
            <v>TH-32</v>
          </cell>
          <cell r="C158" t="str">
            <v>Surin</v>
          </cell>
          <cell r="D158">
            <v>2015</v>
          </cell>
          <cell r="E158">
            <v>9159.9187729999994</v>
          </cell>
        </row>
        <row r="159">
          <cell r="A159" t="str">
            <v>TH-30</v>
          </cell>
          <cell r="C159" t="str">
            <v>Nakhon Ratchasima</v>
          </cell>
          <cell r="D159">
            <v>2015</v>
          </cell>
          <cell r="E159">
            <v>46645.341780000002</v>
          </cell>
        </row>
        <row r="160">
          <cell r="A160" t="str">
            <v>TH-64</v>
          </cell>
          <cell r="C160" t="str">
            <v>Sukhothai</v>
          </cell>
          <cell r="D160">
            <v>2015</v>
          </cell>
          <cell r="E160">
            <v>10514.276110000001</v>
          </cell>
        </row>
        <row r="161">
          <cell r="A161" t="str">
            <v>TH-76</v>
          </cell>
          <cell r="C161" t="str">
            <v>Phetchaburi</v>
          </cell>
          <cell r="D161">
            <v>2015</v>
          </cell>
          <cell r="E161">
            <v>24961.278010000002</v>
          </cell>
        </row>
        <row r="162">
          <cell r="A162" t="str">
            <v>TH-36</v>
          </cell>
          <cell r="C162" t="str">
            <v>Chaiyaphum</v>
          </cell>
          <cell r="D162">
            <v>2015</v>
          </cell>
          <cell r="E162">
            <v>14195.368539999999</v>
          </cell>
        </row>
        <row r="163">
          <cell r="A163" t="str">
            <v>TH-67</v>
          </cell>
          <cell r="C163" t="str">
            <v>Phetchabun</v>
          </cell>
          <cell r="D163">
            <v>2015</v>
          </cell>
          <cell r="E163">
            <v>13620.45376</v>
          </cell>
        </row>
        <row r="164">
          <cell r="A164" t="str">
            <v>TH-84</v>
          </cell>
          <cell r="C164" t="str">
            <v>Surat Thani</v>
          </cell>
          <cell r="D164">
            <v>2015</v>
          </cell>
          <cell r="E164">
            <v>20864.14976</v>
          </cell>
        </row>
        <row r="165">
          <cell r="A165" t="str">
            <v>TH-33</v>
          </cell>
          <cell r="C165" t="str">
            <v>Si Sa Ket</v>
          </cell>
          <cell r="D165">
            <v>2015</v>
          </cell>
          <cell r="E165">
            <v>8701.8125799999998</v>
          </cell>
        </row>
        <row r="166">
          <cell r="A166" t="str">
            <v>TH-43</v>
          </cell>
          <cell r="C166" t="str">
            <v>Nong Khai</v>
          </cell>
          <cell r="D166">
            <v>2015</v>
          </cell>
          <cell r="E166">
            <v>7017.258562</v>
          </cell>
        </row>
        <row r="167">
          <cell r="A167" t="str">
            <v>TH-10</v>
          </cell>
          <cell r="C167" t="str">
            <v>Bangkok</v>
          </cell>
          <cell r="D167">
            <v>2015</v>
          </cell>
          <cell r="E167">
            <v>149370.12820000001</v>
          </cell>
        </row>
        <row r="168">
          <cell r="A168" t="str">
            <v>TH-40</v>
          </cell>
          <cell r="C168" t="str">
            <v>Khon Kaen</v>
          </cell>
          <cell r="D168">
            <v>2015</v>
          </cell>
          <cell r="E168">
            <v>30769.12023</v>
          </cell>
        </row>
        <row r="169">
          <cell r="A169" t="str">
            <v>TH-42</v>
          </cell>
          <cell r="C169" t="str">
            <v>Loei</v>
          </cell>
          <cell r="D169">
            <v>2015</v>
          </cell>
          <cell r="E169">
            <v>7597.8558229999999</v>
          </cell>
        </row>
        <row r="170">
          <cell r="A170" t="str">
            <v>TH-19</v>
          </cell>
          <cell r="C170" t="str">
            <v>Saraburi</v>
          </cell>
          <cell r="D170">
            <v>2015</v>
          </cell>
          <cell r="E170">
            <v>35576.516860000003</v>
          </cell>
        </row>
        <row r="171">
          <cell r="A171" t="str">
            <v>TH-61</v>
          </cell>
          <cell r="C171" t="str">
            <v>Uthai Thani</v>
          </cell>
          <cell r="D171">
            <v>2015</v>
          </cell>
          <cell r="E171">
            <v>6226.4163909999997</v>
          </cell>
        </row>
        <row r="172">
          <cell r="A172" t="str">
            <v>TH-86</v>
          </cell>
          <cell r="C172" t="str">
            <v>Chumphon</v>
          </cell>
          <cell r="D172">
            <v>2015</v>
          </cell>
          <cell r="E172">
            <v>9053.5381120000002</v>
          </cell>
        </row>
        <row r="173">
          <cell r="A173" t="str">
            <v>TH-46</v>
          </cell>
          <cell r="C173" t="str">
            <v>Kalasin</v>
          </cell>
          <cell r="D173">
            <v>2015</v>
          </cell>
          <cell r="E173">
            <v>12101.956980000001</v>
          </cell>
        </row>
        <row r="174">
          <cell r="A174" t="str">
            <v>TH-65</v>
          </cell>
          <cell r="C174" t="str">
            <v>Phitsanulok</v>
          </cell>
          <cell r="D174">
            <v>2015</v>
          </cell>
          <cell r="E174">
            <v>17537.497439999999</v>
          </cell>
        </row>
        <row r="175">
          <cell r="A175" t="str">
            <v>TH-85</v>
          </cell>
          <cell r="C175" t="str">
            <v>Ranong</v>
          </cell>
          <cell r="D175">
            <v>2015</v>
          </cell>
          <cell r="E175">
            <v>3780.9535310000001</v>
          </cell>
        </row>
        <row r="176">
          <cell r="A176" t="str">
            <v>TH-41</v>
          </cell>
          <cell r="C176" t="str">
            <v>Udon Thani</v>
          </cell>
          <cell r="D176">
            <v>2015</v>
          </cell>
          <cell r="E176">
            <v>18760.53397</v>
          </cell>
        </row>
        <row r="177">
          <cell r="A177" t="str">
            <v>TH-47</v>
          </cell>
          <cell r="C177" t="str">
            <v>Sakon Nakhon</v>
          </cell>
          <cell r="D177">
            <v>2015</v>
          </cell>
          <cell r="E177">
            <v>10292.552449999999</v>
          </cell>
        </row>
        <row r="178">
          <cell r="A178" t="str">
            <v>TH-57</v>
          </cell>
          <cell r="C178" t="str">
            <v>Chiang Rai</v>
          </cell>
          <cell r="D178">
            <v>2015</v>
          </cell>
          <cell r="E178">
            <v>19753.583340000001</v>
          </cell>
        </row>
        <row r="179">
          <cell r="A179" t="str">
            <v>TH-63</v>
          </cell>
          <cell r="C179" t="str">
            <v>Tak</v>
          </cell>
          <cell r="D179">
            <v>2015</v>
          </cell>
          <cell r="E179">
            <v>9485.4632930000007</v>
          </cell>
        </row>
        <row r="180">
          <cell r="A180" t="str">
            <v>TH-14</v>
          </cell>
          <cell r="C180" t="str">
            <v>Phra Nakhon Sri Ayuthaya</v>
          </cell>
          <cell r="D180">
            <v>2015</v>
          </cell>
          <cell r="E180">
            <v>43689.231919999998</v>
          </cell>
        </row>
        <row r="181">
          <cell r="A181" t="str">
            <v>TH-66</v>
          </cell>
          <cell r="C181" t="str">
            <v>Phichit</v>
          </cell>
          <cell r="D181">
            <v>2015</v>
          </cell>
          <cell r="E181">
            <v>8185.2963529999997</v>
          </cell>
        </row>
        <row r="182">
          <cell r="A182" t="str">
            <v>TH-93</v>
          </cell>
          <cell r="C182" t="str">
            <v>Phatthalung</v>
          </cell>
          <cell r="D182">
            <v>2015</v>
          </cell>
          <cell r="E182">
            <v>6858.7050829999998</v>
          </cell>
        </row>
        <row r="183">
          <cell r="A183" t="str">
            <v>TH-82</v>
          </cell>
          <cell r="C183" t="str">
            <v>Phangnga</v>
          </cell>
          <cell r="D183">
            <v>2015</v>
          </cell>
          <cell r="E183">
            <v>6689.8744390000002</v>
          </cell>
        </row>
        <row r="184">
          <cell r="A184" t="str">
            <v>TH-94</v>
          </cell>
          <cell r="C184" t="str">
            <v>Pattani</v>
          </cell>
          <cell r="D184">
            <v>2015</v>
          </cell>
          <cell r="E184">
            <v>10148.88903</v>
          </cell>
        </row>
        <row r="185">
          <cell r="A185" t="str">
            <v>TH-13</v>
          </cell>
          <cell r="C185" t="str">
            <v>Pathum Thani</v>
          </cell>
          <cell r="D185">
            <v>2015</v>
          </cell>
          <cell r="E185">
            <v>50469.464260000001</v>
          </cell>
        </row>
        <row r="186">
          <cell r="A186" t="str">
            <v>TH-80</v>
          </cell>
          <cell r="C186" t="str">
            <v>Nakhon Si Thammarat</v>
          </cell>
          <cell r="D186">
            <v>2015</v>
          </cell>
          <cell r="E186">
            <v>20227.205440000002</v>
          </cell>
        </row>
        <row r="187">
          <cell r="A187" t="str">
            <v>TH-26</v>
          </cell>
          <cell r="C187" t="str">
            <v>Nakhon Nayok</v>
          </cell>
          <cell r="D187">
            <v>2015</v>
          </cell>
          <cell r="E187">
            <v>7066.7579379999997</v>
          </cell>
        </row>
        <row r="188">
          <cell r="A188" t="str">
            <v>TH-49</v>
          </cell>
          <cell r="C188" t="str">
            <v>Mukdahan</v>
          </cell>
          <cell r="D188">
            <v>2015</v>
          </cell>
          <cell r="E188">
            <v>3969.9789519999999</v>
          </cell>
        </row>
        <row r="189">
          <cell r="A189" t="str">
            <v>TH-16</v>
          </cell>
          <cell r="C189" t="str">
            <v>Lop Buri</v>
          </cell>
          <cell r="D189">
            <v>2015</v>
          </cell>
          <cell r="E189">
            <v>14490.23055</v>
          </cell>
        </row>
        <row r="190">
          <cell r="A190" t="str">
            <v>TH-81</v>
          </cell>
          <cell r="C190" t="str">
            <v>Krabi</v>
          </cell>
          <cell r="D190">
            <v>2015</v>
          </cell>
          <cell r="E190">
            <v>8017.7152180000003</v>
          </cell>
        </row>
        <row r="191">
          <cell r="A191" t="str">
            <v>TH-20</v>
          </cell>
          <cell r="C191" t="str">
            <v>Chon Buri</v>
          </cell>
          <cell r="D191">
            <v>2015</v>
          </cell>
          <cell r="E191">
            <v>96072.646009999997</v>
          </cell>
        </row>
        <row r="192">
          <cell r="A192" t="str">
            <v>TH-50</v>
          </cell>
          <cell r="C192" t="str">
            <v>Chiang Mai</v>
          </cell>
          <cell r="D192">
            <v>2015</v>
          </cell>
          <cell r="E192">
            <v>40131.996019999999</v>
          </cell>
        </row>
        <row r="193">
          <cell r="A193" t="str">
            <v>TH-18</v>
          </cell>
          <cell r="C193" t="str">
            <v>Chai Nat</v>
          </cell>
          <cell r="D193">
            <v>2015</v>
          </cell>
          <cell r="E193">
            <v>7393.9601169999996</v>
          </cell>
        </row>
        <row r="194">
          <cell r="A194" t="str">
            <v>TH-37</v>
          </cell>
          <cell r="C194" t="str">
            <v>Amnat Chareon</v>
          </cell>
          <cell r="D194">
            <v>2015</v>
          </cell>
          <cell r="E194">
            <v>3788.2182619999999</v>
          </cell>
        </row>
        <row r="195">
          <cell r="A195" t="str">
            <v>TH-74</v>
          </cell>
          <cell r="C195" t="str">
            <v>Samut Sakhon</v>
          </cell>
          <cell r="D195">
            <v>2015</v>
          </cell>
          <cell r="E195">
            <v>23773.986140000001</v>
          </cell>
        </row>
        <row r="196">
          <cell r="A196" t="str">
            <v>TH-11</v>
          </cell>
          <cell r="C196" t="str">
            <v>Samut Prakan</v>
          </cell>
          <cell r="D196">
            <v>2015</v>
          </cell>
          <cell r="E196">
            <v>60939.41444</v>
          </cell>
        </row>
        <row r="197">
          <cell r="A197" t="str">
            <v>TH-55</v>
          </cell>
          <cell r="C197" t="str">
            <v>Nan</v>
          </cell>
          <cell r="D197">
            <v>2015</v>
          </cell>
          <cell r="E197">
            <v>5431.9796580000002</v>
          </cell>
        </row>
        <row r="198">
          <cell r="A198" t="str">
            <v>TH-22</v>
          </cell>
          <cell r="C198" t="str">
            <v>Chanthaburi</v>
          </cell>
          <cell r="D198">
            <v>2015</v>
          </cell>
          <cell r="E198">
            <v>11223.20009</v>
          </cell>
        </row>
        <row r="199">
          <cell r="A199" t="str">
            <v>TH-48</v>
          </cell>
          <cell r="C199" t="str">
            <v>Nakhon Phanom</v>
          </cell>
          <cell r="D199">
            <v>2015</v>
          </cell>
          <cell r="E199">
            <v>9131.8783050000002</v>
          </cell>
        </row>
        <row r="200">
          <cell r="A200" t="str">
            <v>TH-71</v>
          </cell>
          <cell r="C200" t="str">
            <v>Kanchanaburi</v>
          </cell>
          <cell r="D200">
            <v>2015</v>
          </cell>
          <cell r="E200">
            <v>22614.144759999999</v>
          </cell>
        </row>
        <row r="201">
          <cell r="A201" t="str">
            <v>TH-58</v>
          </cell>
          <cell r="C201" t="str">
            <v>Mae Hong Son</v>
          </cell>
          <cell r="D201">
            <v>2015</v>
          </cell>
          <cell r="E201">
            <v>2002.8466940000001</v>
          </cell>
        </row>
        <row r="202">
          <cell r="A202" t="str">
            <v>TH-27</v>
          </cell>
          <cell r="C202" t="str">
            <v>Sa Kaew</v>
          </cell>
          <cell r="D202">
            <v>2015</v>
          </cell>
          <cell r="E202">
            <v>8018.1926020000001</v>
          </cell>
        </row>
        <row r="203">
          <cell r="A203" t="str">
            <v>TH-91</v>
          </cell>
          <cell r="C203" t="str">
            <v>Satun</v>
          </cell>
          <cell r="D203">
            <v>2015</v>
          </cell>
          <cell r="E203">
            <v>6899.8191260000003</v>
          </cell>
        </row>
        <row r="204">
          <cell r="A204" t="str">
            <v>TH-73</v>
          </cell>
          <cell r="C204" t="str">
            <v>Nakhon Pathom</v>
          </cell>
          <cell r="D204">
            <v>2015</v>
          </cell>
          <cell r="E204">
            <v>37759.328699999998</v>
          </cell>
        </row>
        <row r="205">
          <cell r="A205" t="str">
            <v>TH-51</v>
          </cell>
          <cell r="C205" t="str">
            <v>Lamphun</v>
          </cell>
          <cell r="D205">
            <v>2015</v>
          </cell>
          <cell r="E205">
            <v>9566.8270929999999</v>
          </cell>
        </row>
        <row r="206">
          <cell r="A206" t="str">
            <v>TH-23</v>
          </cell>
          <cell r="C206" t="str">
            <v>Trat</v>
          </cell>
          <cell r="D206">
            <v>2015</v>
          </cell>
          <cell r="E206">
            <v>3242.7646199999999</v>
          </cell>
        </row>
        <row r="207">
          <cell r="A207" t="str">
            <v>TH-70</v>
          </cell>
          <cell r="C207" t="str">
            <v>Ratchaburi</v>
          </cell>
          <cell r="D207">
            <v>2015</v>
          </cell>
          <cell r="E207">
            <v>28074.533909999998</v>
          </cell>
        </row>
        <row r="208">
          <cell r="A208" t="str">
            <v>TH-35</v>
          </cell>
          <cell r="C208" t="str">
            <v>Yasothon</v>
          </cell>
          <cell r="D208">
            <v>2015</v>
          </cell>
          <cell r="E208">
            <v>5718.971904</v>
          </cell>
        </row>
        <row r="209">
          <cell r="A209" t="str">
            <v>TH-54</v>
          </cell>
          <cell r="C209" t="str">
            <v>Phrae</v>
          </cell>
          <cell r="D209">
            <v>2015</v>
          </cell>
          <cell r="E209">
            <v>7528.0168320000002</v>
          </cell>
        </row>
        <row r="210">
          <cell r="A210" t="str">
            <v>TH-95</v>
          </cell>
          <cell r="C210" t="str">
            <v>Yala</v>
          </cell>
          <cell r="D210">
            <v>2015</v>
          </cell>
          <cell r="E210">
            <v>8609.3648420000009</v>
          </cell>
        </row>
        <row r="211">
          <cell r="A211" t="str">
            <v>TH-53</v>
          </cell>
          <cell r="C211" t="str">
            <v>Uttaradit</v>
          </cell>
          <cell r="D211">
            <v>2015</v>
          </cell>
          <cell r="E211">
            <v>8194.9195990000007</v>
          </cell>
        </row>
        <row r="212">
          <cell r="A212" t="str">
            <v>TH-31</v>
          </cell>
          <cell r="C212" t="str">
            <v>Buri Ram</v>
          </cell>
          <cell r="D212">
            <v>2015</v>
          </cell>
          <cell r="E212">
            <v>12463.82359</v>
          </cell>
        </row>
        <row r="213">
          <cell r="A213" t="str">
            <v>TH-62</v>
          </cell>
          <cell r="C213" t="str">
            <v>Kam Phaeng Phet</v>
          </cell>
          <cell r="D213">
            <v>2015</v>
          </cell>
          <cell r="E213">
            <v>13693.730729999999</v>
          </cell>
        </row>
        <row r="214">
          <cell r="A214" t="str">
            <v>TH-52</v>
          </cell>
          <cell r="C214" t="str">
            <v>Lampang</v>
          </cell>
          <cell r="D214">
            <v>2015</v>
          </cell>
          <cell r="E214">
            <v>15504.51993</v>
          </cell>
        </row>
        <row r="215">
          <cell r="A215" t="str">
            <v>TH-12</v>
          </cell>
          <cell r="C215" t="str">
            <v>Nonthaburi</v>
          </cell>
          <cell r="D215">
            <v>2015</v>
          </cell>
          <cell r="E215">
            <v>35063.516100000001</v>
          </cell>
        </row>
        <row r="216">
          <cell r="A216" t="str">
            <v>TH-38</v>
          </cell>
          <cell r="C216" t="str">
            <v>Bueng Kan</v>
          </cell>
          <cell r="D216">
            <v>2015</v>
          </cell>
          <cell r="E216">
            <v>3755.7650819999999</v>
          </cell>
        </row>
        <row r="217">
          <cell r="A217" t="str">
            <v>TH-96</v>
          </cell>
          <cell r="C217" t="str">
            <v>Narathiwat</v>
          </cell>
          <cell r="D217">
            <v>2015</v>
          </cell>
          <cell r="E217">
            <v>9662.2779869999995</v>
          </cell>
        </row>
        <row r="218">
          <cell r="A218" t="str">
            <v>TH-34</v>
          </cell>
          <cell r="C218" t="str">
            <v>Ubon Ratchathani</v>
          </cell>
          <cell r="D218">
            <v>2015</v>
          </cell>
          <cell r="E218">
            <v>18376.922869999999</v>
          </cell>
        </row>
        <row r="219">
          <cell r="A219" t="str">
            <v>TH-77</v>
          </cell>
          <cell r="C219" t="str">
            <v>Phachuap Khiri Khan</v>
          </cell>
          <cell r="D219">
            <v>2015</v>
          </cell>
          <cell r="E219">
            <v>17023.499100000001</v>
          </cell>
        </row>
        <row r="220">
          <cell r="A220" t="str">
            <v>TH-90</v>
          </cell>
          <cell r="C220" t="str">
            <v>Songkhla</v>
          </cell>
          <cell r="D220">
            <v>2015</v>
          </cell>
          <cell r="E220">
            <v>33402.814619999997</v>
          </cell>
        </row>
        <row r="221">
          <cell r="A221" t="str">
            <v>TH-83</v>
          </cell>
          <cell r="C221" t="str">
            <v>Phuket</v>
          </cell>
          <cell r="D221">
            <v>2015</v>
          </cell>
          <cell r="E221">
            <v>16813.94326</v>
          </cell>
        </row>
        <row r="222">
          <cell r="A222" t="str">
            <v>TH-15</v>
          </cell>
          <cell r="C222" t="str">
            <v>Ang Thong</v>
          </cell>
          <cell r="D222">
            <v>2015</v>
          </cell>
          <cell r="E222">
            <v>7723.5611719999997</v>
          </cell>
        </row>
        <row r="223">
          <cell r="A223" t="str">
            <v>TH-44</v>
          </cell>
          <cell r="C223" t="str">
            <v>Maha Sarakham</v>
          </cell>
          <cell r="D223">
            <v>2015</v>
          </cell>
          <cell r="E223">
            <v>11834.477929999999</v>
          </cell>
        </row>
        <row r="224">
          <cell r="A224" t="str">
            <v>TH-92</v>
          </cell>
          <cell r="C224" t="str">
            <v>Trang</v>
          </cell>
          <cell r="D224">
            <v>2015</v>
          </cell>
          <cell r="E224">
            <v>10636.62204</v>
          </cell>
        </row>
        <row r="225">
          <cell r="A225" t="str">
            <v>TH-72</v>
          </cell>
          <cell r="C225" t="str">
            <v>Suphan Buri</v>
          </cell>
          <cell r="D225">
            <v>2015</v>
          </cell>
          <cell r="E225">
            <v>23241.58711</v>
          </cell>
        </row>
        <row r="226">
          <cell r="A226" t="str">
            <v>TH-17</v>
          </cell>
          <cell r="C226" t="str">
            <v>Singburi</v>
          </cell>
          <cell r="D226">
            <v>2015</v>
          </cell>
          <cell r="E226">
            <v>6606.7656720000004</v>
          </cell>
        </row>
        <row r="227">
          <cell r="A227" t="str">
            <v>TH-75</v>
          </cell>
          <cell r="C227" t="str">
            <v>Samut Songkhram</v>
          </cell>
          <cell r="D227">
            <v>2015</v>
          </cell>
          <cell r="E227">
            <v>5304.0576870000004</v>
          </cell>
        </row>
        <row r="228">
          <cell r="A228" t="str">
            <v>TH-21</v>
          </cell>
          <cell r="C228" t="str">
            <v>Rayong</v>
          </cell>
          <cell r="D228">
            <v>2015</v>
          </cell>
          <cell r="E228">
            <v>75613.212849999996</v>
          </cell>
        </row>
        <row r="229">
          <cell r="A229" t="str">
            <v>TH-25</v>
          </cell>
          <cell r="C229" t="str">
            <v>Prachin Buri</v>
          </cell>
          <cell r="D229">
            <v>2015</v>
          </cell>
          <cell r="E229">
            <v>19792.64013</v>
          </cell>
        </row>
        <row r="230">
          <cell r="A230" t="str">
            <v>TH-45</v>
          </cell>
          <cell r="C230" t="str">
            <v>Roi Et</v>
          </cell>
          <cell r="D230">
            <v>2015</v>
          </cell>
          <cell r="E230">
            <v>12050.77072</v>
          </cell>
        </row>
        <row r="231">
          <cell r="A231" t="str">
            <v>TH-56</v>
          </cell>
          <cell r="C231" t="str">
            <v>Phayao</v>
          </cell>
          <cell r="D231">
            <v>2015</v>
          </cell>
          <cell r="E231">
            <v>5710.9127339999995</v>
          </cell>
        </row>
        <row r="232">
          <cell r="A232" t="str">
            <v>TH-60</v>
          </cell>
          <cell r="C232" t="str">
            <v>Nakhon Sawan</v>
          </cell>
          <cell r="D232">
            <v>2015</v>
          </cell>
          <cell r="E232">
            <v>17891.945080000001</v>
          </cell>
        </row>
        <row r="233">
          <cell r="A233" t="str">
            <v>TH-39</v>
          </cell>
          <cell r="C233" t="str">
            <v>Nongbua Lamphu</v>
          </cell>
          <cell r="D233">
            <v>2016</v>
          </cell>
          <cell r="E233">
            <v>5598.70057</v>
          </cell>
        </row>
        <row r="234">
          <cell r="A234" t="str">
            <v>TH-24</v>
          </cell>
          <cell r="C234" t="str">
            <v>Chachoengsao</v>
          </cell>
          <cell r="D234">
            <v>2016</v>
          </cell>
          <cell r="E234">
            <v>32194.315780000001</v>
          </cell>
        </row>
        <row r="235">
          <cell r="A235" t="str">
            <v>TH-32</v>
          </cell>
          <cell r="C235" t="str">
            <v>Surin</v>
          </cell>
          <cell r="D235">
            <v>2016</v>
          </cell>
          <cell r="E235">
            <v>9948.6075980000005</v>
          </cell>
        </row>
        <row r="236">
          <cell r="A236" t="str">
            <v>TH-30</v>
          </cell>
          <cell r="C236" t="str">
            <v>Nakhon Ratchasima</v>
          </cell>
          <cell r="D236">
            <v>2016</v>
          </cell>
          <cell r="E236">
            <v>49556.726569999999</v>
          </cell>
        </row>
        <row r="237">
          <cell r="A237" t="str">
            <v>TH-64</v>
          </cell>
          <cell r="C237" t="str">
            <v>Sukhothai</v>
          </cell>
          <cell r="D237">
            <v>2016</v>
          </cell>
          <cell r="E237">
            <v>10700.42518</v>
          </cell>
        </row>
        <row r="238">
          <cell r="A238" t="str">
            <v>TH-76</v>
          </cell>
          <cell r="C238" t="str">
            <v>Phetchaburi</v>
          </cell>
          <cell r="D238">
            <v>2016</v>
          </cell>
          <cell r="E238">
            <v>25842.270629999999</v>
          </cell>
        </row>
        <row r="239">
          <cell r="A239" t="str">
            <v>TH-36</v>
          </cell>
          <cell r="C239" t="str">
            <v>Chaiyaphum</v>
          </cell>
          <cell r="D239">
            <v>2016</v>
          </cell>
          <cell r="E239">
            <v>15137.94757</v>
          </cell>
        </row>
        <row r="240">
          <cell r="A240" t="str">
            <v>TH-67</v>
          </cell>
          <cell r="C240" t="str">
            <v>Phetchabun</v>
          </cell>
          <cell r="D240">
            <v>2016</v>
          </cell>
          <cell r="E240">
            <v>13767.35542</v>
          </cell>
        </row>
        <row r="241">
          <cell r="A241" t="str">
            <v>TH-84</v>
          </cell>
          <cell r="C241" t="str">
            <v>Surat Thani</v>
          </cell>
          <cell r="D241">
            <v>2016</v>
          </cell>
          <cell r="E241">
            <v>22301.372139999999</v>
          </cell>
        </row>
        <row r="242">
          <cell r="A242" t="str">
            <v>TH-33</v>
          </cell>
          <cell r="C242" t="str">
            <v>Si Sa Ket</v>
          </cell>
          <cell r="D242">
            <v>2016</v>
          </cell>
          <cell r="E242">
            <v>8823.0209290000003</v>
          </cell>
        </row>
        <row r="243">
          <cell r="A243" t="str">
            <v>TH-43</v>
          </cell>
          <cell r="C243" t="str">
            <v>Nong Khai</v>
          </cell>
          <cell r="D243">
            <v>2016</v>
          </cell>
          <cell r="E243">
            <v>7715.8822209999998</v>
          </cell>
        </row>
        <row r="244">
          <cell r="A244" t="str">
            <v>TH-10</v>
          </cell>
          <cell r="C244" t="str">
            <v>Bangkok</v>
          </cell>
          <cell r="D244">
            <v>2016</v>
          </cell>
          <cell r="E244">
            <v>155677.25099999999</v>
          </cell>
        </row>
        <row r="245">
          <cell r="A245" t="str">
            <v>TH-40</v>
          </cell>
          <cell r="C245" t="str">
            <v>Khon Kaen</v>
          </cell>
          <cell r="D245">
            <v>2016</v>
          </cell>
          <cell r="E245">
            <v>31416.70318</v>
          </cell>
        </row>
        <row r="246">
          <cell r="A246" t="str">
            <v>TH-42</v>
          </cell>
          <cell r="C246" t="str">
            <v>Loei</v>
          </cell>
          <cell r="D246">
            <v>2016</v>
          </cell>
          <cell r="E246">
            <v>7356.775071</v>
          </cell>
        </row>
        <row r="247">
          <cell r="A247" t="str">
            <v>TH-19</v>
          </cell>
          <cell r="C247" t="str">
            <v>Saraburi</v>
          </cell>
          <cell r="D247">
            <v>2016</v>
          </cell>
          <cell r="E247">
            <v>36819.374400000001</v>
          </cell>
        </row>
        <row r="248">
          <cell r="A248" t="str">
            <v>TH-61</v>
          </cell>
          <cell r="C248" t="str">
            <v>Uthai Thani</v>
          </cell>
          <cell r="D248">
            <v>2016</v>
          </cell>
          <cell r="E248">
            <v>6064.7106169999997</v>
          </cell>
        </row>
        <row r="249">
          <cell r="A249" t="str">
            <v>TH-86</v>
          </cell>
          <cell r="C249" t="str">
            <v>Chumphon</v>
          </cell>
          <cell r="D249">
            <v>2016</v>
          </cell>
          <cell r="E249">
            <v>9728.9338530000005</v>
          </cell>
        </row>
        <row r="250">
          <cell r="A250" t="str">
            <v>TH-46</v>
          </cell>
          <cell r="C250" t="str">
            <v>Kalasin</v>
          </cell>
          <cell r="D250">
            <v>2016</v>
          </cell>
          <cell r="E250">
            <v>12345.6908</v>
          </cell>
        </row>
        <row r="251">
          <cell r="A251" t="str">
            <v>TH-65</v>
          </cell>
          <cell r="C251" t="str">
            <v>Phitsanulok</v>
          </cell>
          <cell r="D251">
            <v>2016</v>
          </cell>
          <cell r="E251">
            <v>17220.408619999998</v>
          </cell>
        </row>
        <row r="252">
          <cell r="A252" t="str">
            <v>TH-85</v>
          </cell>
          <cell r="C252" t="str">
            <v>Ranong</v>
          </cell>
          <cell r="D252">
            <v>2016</v>
          </cell>
          <cell r="E252">
            <v>3864.269976</v>
          </cell>
        </row>
        <row r="253">
          <cell r="A253" t="str">
            <v>TH-41</v>
          </cell>
          <cell r="C253" t="str">
            <v>Udon Thani</v>
          </cell>
          <cell r="D253">
            <v>2016</v>
          </cell>
          <cell r="E253">
            <v>18670.112270000001</v>
          </cell>
        </row>
        <row r="254">
          <cell r="A254" t="str">
            <v>TH-47</v>
          </cell>
          <cell r="C254" t="str">
            <v>Sakon Nakhon</v>
          </cell>
          <cell r="D254">
            <v>2016</v>
          </cell>
          <cell r="E254">
            <v>10453.010109999999</v>
          </cell>
        </row>
        <row r="255">
          <cell r="A255" t="str">
            <v>TH-57</v>
          </cell>
          <cell r="C255" t="str">
            <v>Chiang Rai</v>
          </cell>
          <cell r="D255">
            <v>2016</v>
          </cell>
          <cell r="E255">
            <v>19133.469229999999</v>
          </cell>
        </row>
        <row r="256">
          <cell r="A256" t="str">
            <v>TH-63</v>
          </cell>
          <cell r="C256" t="str">
            <v>Tak</v>
          </cell>
          <cell r="D256">
            <v>2016</v>
          </cell>
          <cell r="E256">
            <v>9731.181423</v>
          </cell>
        </row>
        <row r="257">
          <cell r="A257" t="str">
            <v>TH-14</v>
          </cell>
          <cell r="C257" t="str">
            <v>Phra Nakhon Sri Ayuthaya</v>
          </cell>
          <cell r="D257">
            <v>2016</v>
          </cell>
          <cell r="E257">
            <v>44265.551910000002</v>
          </cell>
        </row>
        <row r="258">
          <cell r="A258" t="str">
            <v>TH-66</v>
          </cell>
          <cell r="C258" t="str">
            <v>Phichit</v>
          </cell>
          <cell r="D258">
            <v>2016</v>
          </cell>
          <cell r="E258">
            <v>7921.4737569999998</v>
          </cell>
        </row>
        <row r="259">
          <cell r="A259" t="str">
            <v>TH-93</v>
          </cell>
          <cell r="C259" t="str">
            <v>Phatthalung</v>
          </cell>
          <cell r="D259">
            <v>2016</v>
          </cell>
          <cell r="E259">
            <v>7172.1223540000001</v>
          </cell>
        </row>
        <row r="260">
          <cell r="A260" t="str">
            <v>TH-82</v>
          </cell>
          <cell r="C260" t="str">
            <v>Phangnga</v>
          </cell>
          <cell r="D260">
            <v>2016</v>
          </cell>
          <cell r="E260">
            <v>7233.3955470000001</v>
          </cell>
        </row>
        <row r="261">
          <cell r="A261" t="str">
            <v>TH-94</v>
          </cell>
          <cell r="C261" t="str">
            <v>Pattani</v>
          </cell>
          <cell r="D261">
            <v>2016</v>
          </cell>
          <cell r="E261">
            <v>11254.94066</v>
          </cell>
        </row>
        <row r="262">
          <cell r="A262" t="str">
            <v>TH-13</v>
          </cell>
          <cell r="C262" t="str">
            <v>Pathum Thani</v>
          </cell>
          <cell r="D262">
            <v>2016</v>
          </cell>
          <cell r="E262">
            <v>51028.790229999999</v>
          </cell>
        </row>
        <row r="263">
          <cell r="A263" t="str">
            <v>TH-80</v>
          </cell>
          <cell r="C263" t="str">
            <v>Nakhon Si Thammarat</v>
          </cell>
          <cell r="D263">
            <v>2016</v>
          </cell>
          <cell r="E263">
            <v>21856.385620000001</v>
          </cell>
        </row>
        <row r="264">
          <cell r="A264" t="str">
            <v>TH-26</v>
          </cell>
          <cell r="C264" t="str">
            <v>Nakhon Nayok</v>
          </cell>
          <cell r="D264">
            <v>2016</v>
          </cell>
          <cell r="E264">
            <v>7585.0816969999996</v>
          </cell>
        </row>
        <row r="265">
          <cell r="A265" t="str">
            <v>TH-49</v>
          </cell>
          <cell r="C265" t="str">
            <v>Mukdahan</v>
          </cell>
          <cell r="D265">
            <v>2016</v>
          </cell>
          <cell r="E265">
            <v>4017.111946</v>
          </cell>
        </row>
        <row r="266">
          <cell r="A266" t="str">
            <v>TH-16</v>
          </cell>
          <cell r="C266" t="str">
            <v>Lop Buri</v>
          </cell>
          <cell r="D266">
            <v>2016</v>
          </cell>
          <cell r="E266">
            <v>15649.561390000001</v>
          </cell>
        </row>
        <row r="267">
          <cell r="A267" t="str">
            <v>TH-81</v>
          </cell>
          <cell r="C267" t="str">
            <v>Krabi</v>
          </cell>
          <cell r="D267">
            <v>2016</v>
          </cell>
          <cell r="E267">
            <v>8612.1414960000002</v>
          </cell>
        </row>
        <row r="268">
          <cell r="A268" t="str">
            <v>TH-20</v>
          </cell>
          <cell r="C268" t="str">
            <v>Chon Buri</v>
          </cell>
          <cell r="D268">
            <v>2016</v>
          </cell>
          <cell r="E268">
            <v>102715.41499999999</v>
          </cell>
        </row>
        <row r="269">
          <cell r="A269" t="str">
            <v>TH-50</v>
          </cell>
          <cell r="C269" t="str">
            <v>Chiang Mai</v>
          </cell>
          <cell r="D269">
            <v>2016</v>
          </cell>
          <cell r="E269">
            <v>38427.837149999999</v>
          </cell>
        </row>
        <row r="270">
          <cell r="A270" t="str">
            <v>TH-18</v>
          </cell>
          <cell r="C270" t="str">
            <v>Chai Nat</v>
          </cell>
          <cell r="D270">
            <v>2016</v>
          </cell>
          <cell r="E270">
            <v>7996.5660399999997</v>
          </cell>
        </row>
        <row r="271">
          <cell r="A271" t="str">
            <v>TH-37</v>
          </cell>
          <cell r="C271" t="str">
            <v>Amnat Chareon</v>
          </cell>
          <cell r="D271">
            <v>2016</v>
          </cell>
          <cell r="E271">
            <v>3763.47721</v>
          </cell>
        </row>
        <row r="272">
          <cell r="A272" t="str">
            <v>TH-74</v>
          </cell>
          <cell r="C272" t="str">
            <v>Samut Sakhon</v>
          </cell>
          <cell r="D272">
            <v>2016</v>
          </cell>
          <cell r="E272">
            <v>24318.65654</v>
          </cell>
        </row>
        <row r="273">
          <cell r="A273" t="str">
            <v>TH-11</v>
          </cell>
          <cell r="C273" t="str">
            <v>Samut Prakan</v>
          </cell>
          <cell r="D273">
            <v>2016</v>
          </cell>
          <cell r="E273">
            <v>61629.698729999996</v>
          </cell>
        </row>
        <row r="274">
          <cell r="A274" t="str">
            <v>TH-55</v>
          </cell>
          <cell r="C274" t="str">
            <v>Nan</v>
          </cell>
          <cell r="D274">
            <v>2016</v>
          </cell>
          <cell r="E274">
            <v>5234.9240959999997</v>
          </cell>
        </row>
        <row r="275">
          <cell r="A275" t="str">
            <v>TH-22</v>
          </cell>
          <cell r="C275" t="str">
            <v>Chanthaburi</v>
          </cell>
          <cell r="D275">
            <v>2016</v>
          </cell>
          <cell r="E275">
            <v>11963.77736</v>
          </cell>
        </row>
        <row r="276">
          <cell r="A276" t="str">
            <v>TH-48</v>
          </cell>
          <cell r="C276" t="str">
            <v>Nakhon Phanom</v>
          </cell>
          <cell r="D276">
            <v>2016</v>
          </cell>
          <cell r="E276">
            <v>8750.8324030000003</v>
          </cell>
        </row>
        <row r="277">
          <cell r="A277" t="str">
            <v>TH-71</v>
          </cell>
          <cell r="C277" t="str">
            <v>Kanchanaburi</v>
          </cell>
          <cell r="D277">
            <v>2016</v>
          </cell>
          <cell r="E277">
            <v>23224.274799999999</v>
          </cell>
        </row>
        <row r="278">
          <cell r="A278" t="str">
            <v>TH-58</v>
          </cell>
          <cell r="C278" t="str">
            <v>Mae Hong Son</v>
          </cell>
          <cell r="D278">
            <v>2016</v>
          </cell>
          <cell r="E278">
            <v>1948.3983900000001</v>
          </cell>
        </row>
        <row r="279">
          <cell r="A279" t="str">
            <v>TH-27</v>
          </cell>
          <cell r="C279" t="str">
            <v>Sa Kaew</v>
          </cell>
          <cell r="D279">
            <v>2016</v>
          </cell>
          <cell r="E279">
            <v>9423.7893170000007</v>
          </cell>
        </row>
        <row r="280">
          <cell r="A280" t="str">
            <v>TH-91</v>
          </cell>
          <cell r="C280" t="str">
            <v>Satun</v>
          </cell>
          <cell r="D280">
            <v>2016</v>
          </cell>
          <cell r="E280">
            <v>7406.8908760000004</v>
          </cell>
        </row>
        <row r="281">
          <cell r="A281" t="str">
            <v>TH-73</v>
          </cell>
          <cell r="C281" t="str">
            <v>Nakhon Pathom</v>
          </cell>
          <cell r="D281">
            <v>2016</v>
          </cell>
          <cell r="E281">
            <v>39150.001819999998</v>
          </cell>
        </row>
        <row r="282">
          <cell r="A282" t="str">
            <v>TH-51</v>
          </cell>
          <cell r="C282" t="str">
            <v>Lamphun</v>
          </cell>
          <cell r="D282">
            <v>2016</v>
          </cell>
          <cell r="E282">
            <v>9505.8584589999991</v>
          </cell>
        </row>
        <row r="283">
          <cell r="A283" t="str">
            <v>TH-23</v>
          </cell>
          <cell r="C283" t="str">
            <v>Trat</v>
          </cell>
          <cell r="D283">
            <v>2016</v>
          </cell>
          <cell r="E283">
            <v>3304.8552789999999</v>
          </cell>
        </row>
        <row r="284">
          <cell r="A284" t="str">
            <v>TH-70</v>
          </cell>
          <cell r="C284" t="str">
            <v>Ratchaburi</v>
          </cell>
          <cell r="D284">
            <v>2016</v>
          </cell>
          <cell r="E284">
            <v>28740.411909999999</v>
          </cell>
        </row>
        <row r="285">
          <cell r="A285" t="str">
            <v>TH-35</v>
          </cell>
          <cell r="C285" t="str">
            <v>Yasothon</v>
          </cell>
          <cell r="D285">
            <v>2016</v>
          </cell>
          <cell r="E285">
            <v>5402.0225840000003</v>
          </cell>
        </row>
        <row r="286">
          <cell r="A286" t="str">
            <v>TH-54</v>
          </cell>
          <cell r="C286" t="str">
            <v>Phrae</v>
          </cell>
          <cell r="D286">
            <v>2016</v>
          </cell>
          <cell r="E286">
            <v>7949.1784610000004</v>
          </cell>
        </row>
        <row r="287">
          <cell r="A287" t="str">
            <v>TH-95</v>
          </cell>
          <cell r="C287" t="str">
            <v>Yala</v>
          </cell>
          <cell r="D287">
            <v>2016</v>
          </cell>
          <cell r="E287">
            <v>9332.5019830000001</v>
          </cell>
        </row>
        <row r="288">
          <cell r="A288" t="str">
            <v>TH-53</v>
          </cell>
          <cell r="C288" t="str">
            <v>Uttaradit</v>
          </cell>
          <cell r="D288">
            <v>2016</v>
          </cell>
          <cell r="E288">
            <v>8175.1125869999996</v>
          </cell>
        </row>
        <row r="289">
          <cell r="A289" t="str">
            <v>TH-31</v>
          </cell>
          <cell r="C289" t="str">
            <v>Buri Ram</v>
          </cell>
          <cell r="D289">
            <v>2016</v>
          </cell>
          <cell r="E289">
            <v>14063.671130000001</v>
          </cell>
        </row>
        <row r="290">
          <cell r="A290" t="str">
            <v>TH-62</v>
          </cell>
          <cell r="C290" t="str">
            <v>Kam Phaeng Phet</v>
          </cell>
          <cell r="D290">
            <v>2016</v>
          </cell>
          <cell r="E290">
            <v>13878.48069</v>
          </cell>
        </row>
        <row r="291">
          <cell r="A291" t="str">
            <v>TH-52</v>
          </cell>
          <cell r="C291" t="str">
            <v>Lampang</v>
          </cell>
          <cell r="D291">
            <v>2016</v>
          </cell>
          <cell r="E291">
            <v>14917.26679</v>
          </cell>
        </row>
        <row r="292">
          <cell r="A292" t="str">
            <v>TH-12</v>
          </cell>
          <cell r="C292" t="str">
            <v>Nonthaburi</v>
          </cell>
          <cell r="D292">
            <v>2016</v>
          </cell>
          <cell r="E292">
            <v>35991.196519999998</v>
          </cell>
        </row>
        <row r="293">
          <cell r="A293" t="str">
            <v>TH-38</v>
          </cell>
          <cell r="C293" t="str">
            <v>Bueng Kan</v>
          </cell>
          <cell r="D293">
            <v>2016</v>
          </cell>
          <cell r="E293">
            <v>4004.534314</v>
          </cell>
        </row>
        <row r="294">
          <cell r="A294" t="str">
            <v>TH-96</v>
          </cell>
          <cell r="C294" t="str">
            <v>Narathiwat</v>
          </cell>
          <cell r="D294">
            <v>2016</v>
          </cell>
          <cell r="E294">
            <v>10637.558929999999</v>
          </cell>
        </row>
        <row r="295">
          <cell r="A295" t="str">
            <v>TH-34</v>
          </cell>
          <cell r="C295" t="str">
            <v>Ubon Ratchathani</v>
          </cell>
          <cell r="D295">
            <v>2016</v>
          </cell>
          <cell r="E295">
            <v>18470.787950000002</v>
          </cell>
        </row>
        <row r="296">
          <cell r="A296" t="str">
            <v>TH-77</v>
          </cell>
          <cell r="C296" t="str">
            <v>Phachuap Khiri Khan</v>
          </cell>
          <cell r="D296">
            <v>2016</v>
          </cell>
          <cell r="E296">
            <v>17262.233929999999</v>
          </cell>
        </row>
        <row r="297">
          <cell r="A297" t="str">
            <v>TH-90</v>
          </cell>
          <cell r="C297" t="str">
            <v>Songkhla</v>
          </cell>
          <cell r="D297">
            <v>2016</v>
          </cell>
          <cell r="E297">
            <v>34924.973539999999</v>
          </cell>
        </row>
        <row r="298">
          <cell r="A298" t="str">
            <v>TH-83</v>
          </cell>
          <cell r="C298" t="str">
            <v>Phuket</v>
          </cell>
          <cell r="D298">
            <v>2016</v>
          </cell>
          <cell r="E298">
            <v>18064.539970000002</v>
          </cell>
        </row>
        <row r="299">
          <cell r="A299" t="str">
            <v>TH-15</v>
          </cell>
          <cell r="C299" t="str">
            <v>Ang Thong</v>
          </cell>
          <cell r="D299">
            <v>2016</v>
          </cell>
          <cell r="E299">
            <v>8447.539143</v>
          </cell>
        </row>
        <row r="300">
          <cell r="A300" t="str">
            <v>TH-44</v>
          </cell>
          <cell r="C300" t="str">
            <v>Maha Sarakham</v>
          </cell>
          <cell r="D300">
            <v>2016</v>
          </cell>
          <cell r="E300">
            <v>12239.137839999999</v>
          </cell>
        </row>
        <row r="301">
          <cell r="A301" t="str">
            <v>TH-92</v>
          </cell>
          <cell r="C301" t="str">
            <v>Trang</v>
          </cell>
          <cell r="D301">
            <v>2016</v>
          </cell>
          <cell r="E301">
            <v>11533.10916</v>
          </cell>
        </row>
        <row r="302">
          <cell r="A302" t="str">
            <v>TH-72</v>
          </cell>
          <cell r="C302" t="str">
            <v>Suphan Buri</v>
          </cell>
          <cell r="D302">
            <v>2016</v>
          </cell>
          <cell r="E302">
            <v>24584.38867</v>
          </cell>
        </row>
        <row r="303">
          <cell r="A303" t="str">
            <v>TH-17</v>
          </cell>
          <cell r="C303" t="str">
            <v>Singburi</v>
          </cell>
          <cell r="D303">
            <v>2016</v>
          </cell>
          <cell r="E303">
            <v>7252.0985870000004</v>
          </cell>
        </row>
        <row r="304">
          <cell r="A304" t="str">
            <v>TH-75</v>
          </cell>
          <cell r="C304" t="str">
            <v>Samut Songkhram</v>
          </cell>
          <cell r="D304">
            <v>2016</v>
          </cell>
          <cell r="E304">
            <v>5482.9400400000004</v>
          </cell>
        </row>
        <row r="305">
          <cell r="A305" t="str">
            <v>TH-21</v>
          </cell>
          <cell r="C305" t="str">
            <v>Rayong</v>
          </cell>
          <cell r="D305">
            <v>2016</v>
          </cell>
          <cell r="E305">
            <v>79370.234599999996</v>
          </cell>
        </row>
        <row r="306">
          <cell r="A306" t="str">
            <v>TH-25</v>
          </cell>
          <cell r="C306" t="str">
            <v>Prachin Buri</v>
          </cell>
          <cell r="D306">
            <v>2016</v>
          </cell>
          <cell r="E306">
            <v>21968.089260000001</v>
          </cell>
        </row>
        <row r="307">
          <cell r="A307" t="str">
            <v>TH-45</v>
          </cell>
          <cell r="C307" t="str">
            <v>Roi Et</v>
          </cell>
          <cell r="D307">
            <v>2016</v>
          </cell>
          <cell r="E307">
            <v>11931.435020000001</v>
          </cell>
        </row>
        <row r="308">
          <cell r="A308" t="str">
            <v>TH-56</v>
          </cell>
          <cell r="C308" t="str">
            <v>Phayao</v>
          </cell>
          <cell r="D308">
            <v>2016</v>
          </cell>
          <cell r="E308">
            <v>5228.273537</v>
          </cell>
        </row>
        <row r="309">
          <cell r="A309" t="str">
            <v>TH-60</v>
          </cell>
          <cell r="C309" t="str">
            <v>Nakhon Sawan</v>
          </cell>
          <cell r="D309">
            <v>2016</v>
          </cell>
          <cell r="E309">
            <v>19362.921040000001</v>
          </cell>
        </row>
        <row r="310">
          <cell r="A310" t="str">
            <v>TH-39</v>
          </cell>
          <cell r="C310" t="str">
            <v>Nongbua Lamphu</v>
          </cell>
          <cell r="D310">
            <v>2017</v>
          </cell>
          <cell r="E310">
            <v>7264.3954139999996</v>
          </cell>
        </row>
        <row r="311">
          <cell r="A311" t="str">
            <v>TH-24</v>
          </cell>
          <cell r="C311" t="str">
            <v>Chachoengsao</v>
          </cell>
          <cell r="D311">
            <v>2017</v>
          </cell>
          <cell r="E311">
            <v>36108.058169999997</v>
          </cell>
        </row>
        <row r="312">
          <cell r="A312" t="str">
            <v>TH-32</v>
          </cell>
          <cell r="C312" t="str">
            <v>Surin</v>
          </cell>
          <cell r="D312">
            <v>2017</v>
          </cell>
          <cell r="E312">
            <v>13942.40799</v>
          </cell>
        </row>
        <row r="313">
          <cell r="A313" t="str">
            <v>TH-30</v>
          </cell>
          <cell r="C313" t="str">
            <v>Nakhon Ratchasima</v>
          </cell>
          <cell r="D313">
            <v>2017</v>
          </cell>
          <cell r="E313">
            <v>60448.024949999999</v>
          </cell>
        </row>
        <row r="314">
          <cell r="A314" t="str">
            <v>TH-64</v>
          </cell>
          <cell r="C314" t="str">
            <v>Sukhothai</v>
          </cell>
          <cell r="D314">
            <v>2017</v>
          </cell>
          <cell r="E314">
            <v>13369.94924</v>
          </cell>
        </row>
        <row r="315">
          <cell r="A315" t="str">
            <v>TH-76</v>
          </cell>
          <cell r="C315" t="str">
            <v>Phetchaburi</v>
          </cell>
          <cell r="D315">
            <v>2017</v>
          </cell>
          <cell r="E315">
            <v>28301.443729999999</v>
          </cell>
        </row>
        <row r="316">
          <cell r="A316" t="str">
            <v>TH-36</v>
          </cell>
          <cell r="C316" t="str">
            <v>Chaiyaphum</v>
          </cell>
          <cell r="D316">
            <v>2017</v>
          </cell>
          <cell r="E316">
            <v>18717.076089999999</v>
          </cell>
        </row>
        <row r="317">
          <cell r="A317" t="str">
            <v>TH-67</v>
          </cell>
          <cell r="C317" t="str">
            <v>Phetchabun</v>
          </cell>
          <cell r="D317">
            <v>2017</v>
          </cell>
          <cell r="E317">
            <v>17869.026669999999</v>
          </cell>
        </row>
        <row r="318">
          <cell r="A318" t="str">
            <v>TH-84</v>
          </cell>
          <cell r="C318" t="str">
            <v>Surat Thani</v>
          </cell>
          <cell r="D318">
            <v>2017</v>
          </cell>
          <cell r="E318">
            <v>27474.883539999999</v>
          </cell>
        </row>
        <row r="319">
          <cell r="A319" t="str">
            <v>TH-33</v>
          </cell>
          <cell r="C319" t="str">
            <v>Si Sa Ket</v>
          </cell>
          <cell r="D319">
            <v>2017</v>
          </cell>
          <cell r="E319">
            <v>13000.913629999999</v>
          </cell>
        </row>
        <row r="320">
          <cell r="A320" t="str">
            <v>TH-43</v>
          </cell>
          <cell r="C320" t="str">
            <v>Nong Khai</v>
          </cell>
          <cell r="D320">
            <v>2017</v>
          </cell>
          <cell r="E320">
            <v>10693.76504</v>
          </cell>
        </row>
        <row r="321">
          <cell r="A321" t="str">
            <v>TH-10</v>
          </cell>
          <cell r="C321" t="str">
            <v>Bangkok</v>
          </cell>
          <cell r="D321">
            <v>2017</v>
          </cell>
          <cell r="E321">
            <v>160395.5232</v>
          </cell>
        </row>
        <row r="322">
          <cell r="A322" t="str">
            <v>TH-40</v>
          </cell>
          <cell r="C322" t="str">
            <v>Khon Kaen</v>
          </cell>
          <cell r="D322">
            <v>2017</v>
          </cell>
          <cell r="E322">
            <v>37311.725010000002</v>
          </cell>
        </row>
        <row r="323">
          <cell r="A323" t="str">
            <v>TH-42</v>
          </cell>
          <cell r="C323" t="str">
            <v>Loei</v>
          </cell>
          <cell r="D323">
            <v>2017</v>
          </cell>
          <cell r="E323">
            <v>10049.6728</v>
          </cell>
        </row>
        <row r="324">
          <cell r="A324" t="str">
            <v>TH-19</v>
          </cell>
          <cell r="C324" t="str">
            <v>Saraburi</v>
          </cell>
          <cell r="D324">
            <v>2017</v>
          </cell>
          <cell r="E324">
            <v>39500.167889999997</v>
          </cell>
        </row>
        <row r="325">
          <cell r="A325" t="str">
            <v>TH-61</v>
          </cell>
          <cell r="C325" t="str">
            <v>Uthai Thani</v>
          </cell>
          <cell r="D325">
            <v>2017</v>
          </cell>
          <cell r="E325">
            <v>8085.7766709999996</v>
          </cell>
        </row>
        <row r="326">
          <cell r="A326" t="str">
            <v>TH-86</v>
          </cell>
          <cell r="C326" t="str">
            <v>Chumphon</v>
          </cell>
          <cell r="D326">
            <v>2017</v>
          </cell>
          <cell r="E326">
            <v>12082.66656</v>
          </cell>
        </row>
        <row r="327">
          <cell r="A327" t="str">
            <v>TH-46</v>
          </cell>
          <cell r="C327" t="str">
            <v>Kalasin</v>
          </cell>
          <cell r="D327">
            <v>2017</v>
          </cell>
          <cell r="E327">
            <v>17605.38823</v>
          </cell>
        </row>
        <row r="328">
          <cell r="A328" t="str">
            <v>TH-65</v>
          </cell>
          <cell r="C328" t="str">
            <v>Phitsanulok</v>
          </cell>
          <cell r="D328">
            <v>2017</v>
          </cell>
          <cell r="E328">
            <v>22278.518250000001</v>
          </cell>
        </row>
        <row r="329">
          <cell r="A329" t="str">
            <v>TH-85</v>
          </cell>
          <cell r="C329" t="str">
            <v>Ranong</v>
          </cell>
          <cell r="D329">
            <v>2017</v>
          </cell>
          <cell r="E329">
            <v>4883.9615540000004</v>
          </cell>
        </row>
        <row r="330">
          <cell r="A330" t="str">
            <v>TH-41</v>
          </cell>
          <cell r="C330" t="str">
            <v>Udon Thani</v>
          </cell>
          <cell r="D330">
            <v>2017</v>
          </cell>
          <cell r="E330">
            <v>24477.783179999999</v>
          </cell>
        </row>
        <row r="331">
          <cell r="A331" t="str">
            <v>TH-47</v>
          </cell>
          <cell r="C331" t="str">
            <v>Sakon Nakhon</v>
          </cell>
          <cell r="D331">
            <v>2017</v>
          </cell>
          <cell r="E331">
            <v>15794.403539999999</v>
          </cell>
        </row>
        <row r="332">
          <cell r="A332" t="str">
            <v>TH-57</v>
          </cell>
          <cell r="C332" t="str">
            <v>Chiang Rai</v>
          </cell>
          <cell r="D332">
            <v>2017</v>
          </cell>
          <cell r="E332">
            <v>24405.470529999999</v>
          </cell>
        </row>
        <row r="333">
          <cell r="A333" t="str">
            <v>TH-63</v>
          </cell>
          <cell r="C333" t="str">
            <v>Tak</v>
          </cell>
          <cell r="D333">
            <v>2017</v>
          </cell>
          <cell r="E333">
            <v>12547.854090000001</v>
          </cell>
        </row>
        <row r="334">
          <cell r="A334" t="str">
            <v>TH-14</v>
          </cell>
          <cell r="C334" t="str">
            <v>Phra Nakhon Sri Ayuthaya</v>
          </cell>
          <cell r="D334">
            <v>2017</v>
          </cell>
          <cell r="E334">
            <v>46655.831870000002</v>
          </cell>
        </row>
        <row r="335">
          <cell r="A335" t="str">
            <v>TH-66</v>
          </cell>
          <cell r="C335" t="str">
            <v>Phichit</v>
          </cell>
          <cell r="D335">
            <v>2017</v>
          </cell>
          <cell r="E335">
            <v>10483.10022</v>
          </cell>
        </row>
        <row r="336">
          <cell r="A336" t="str">
            <v>TH-93</v>
          </cell>
          <cell r="C336" t="str">
            <v>Phatthalung</v>
          </cell>
          <cell r="D336">
            <v>2017</v>
          </cell>
          <cell r="E336">
            <v>8591.3694790000009</v>
          </cell>
        </row>
        <row r="337">
          <cell r="A337" t="str">
            <v>TH-82</v>
          </cell>
          <cell r="C337" t="str">
            <v>Phangnga</v>
          </cell>
          <cell r="D337">
            <v>2017</v>
          </cell>
          <cell r="E337">
            <v>8256.5066399999996</v>
          </cell>
        </row>
        <row r="338">
          <cell r="A338" t="str">
            <v>TH-94</v>
          </cell>
          <cell r="C338" t="str">
            <v>Pattani</v>
          </cell>
          <cell r="D338">
            <v>2017</v>
          </cell>
          <cell r="E338">
            <v>12822.4226</v>
          </cell>
        </row>
        <row r="339">
          <cell r="A339" t="str">
            <v>TH-13</v>
          </cell>
          <cell r="C339" t="str">
            <v>Pathum Thani</v>
          </cell>
          <cell r="D339">
            <v>2017</v>
          </cell>
          <cell r="E339">
            <v>54732.099540000003</v>
          </cell>
        </row>
        <row r="340">
          <cell r="A340" t="str">
            <v>TH-80</v>
          </cell>
          <cell r="C340" t="str">
            <v>Nakhon Si Thammarat</v>
          </cell>
          <cell r="D340">
            <v>2017</v>
          </cell>
          <cell r="E340">
            <v>25175.738130000002</v>
          </cell>
        </row>
        <row r="341">
          <cell r="A341" t="str">
            <v>TH-26</v>
          </cell>
          <cell r="C341" t="str">
            <v>Nakhon Nayok</v>
          </cell>
          <cell r="D341">
            <v>2017</v>
          </cell>
          <cell r="E341">
            <v>9685.3677380000008</v>
          </cell>
        </row>
        <row r="342">
          <cell r="A342" t="str">
            <v>TH-49</v>
          </cell>
          <cell r="C342" t="str">
            <v>Mukdahan</v>
          </cell>
          <cell r="D342">
            <v>2017</v>
          </cell>
          <cell r="E342">
            <v>5562.2389450000001</v>
          </cell>
        </row>
        <row r="343">
          <cell r="A343" t="str">
            <v>TH-16</v>
          </cell>
          <cell r="C343" t="str">
            <v>Lop Buri</v>
          </cell>
          <cell r="D343">
            <v>2017</v>
          </cell>
          <cell r="E343">
            <v>19556.517199999998</v>
          </cell>
        </row>
        <row r="344">
          <cell r="A344" t="str">
            <v>TH-81</v>
          </cell>
          <cell r="C344" t="str">
            <v>Krabi</v>
          </cell>
          <cell r="D344">
            <v>2017</v>
          </cell>
          <cell r="E344">
            <v>11439.885539999999</v>
          </cell>
        </row>
        <row r="345">
          <cell r="A345" t="str">
            <v>TH-20</v>
          </cell>
          <cell r="C345" t="str">
            <v>Chon Buri</v>
          </cell>
          <cell r="D345">
            <v>2017</v>
          </cell>
          <cell r="E345">
            <v>111268.0068</v>
          </cell>
        </row>
        <row r="346">
          <cell r="A346" t="str">
            <v>TH-50</v>
          </cell>
          <cell r="C346" t="str">
            <v>Chiang Mai</v>
          </cell>
          <cell r="D346">
            <v>2017</v>
          </cell>
          <cell r="E346">
            <v>44544.013570000003</v>
          </cell>
        </row>
        <row r="347">
          <cell r="A347" t="str">
            <v>TH-18</v>
          </cell>
          <cell r="C347" t="str">
            <v>Chai Nat</v>
          </cell>
          <cell r="D347">
            <v>2017</v>
          </cell>
          <cell r="E347">
            <v>10094.54068</v>
          </cell>
        </row>
        <row r="348">
          <cell r="A348" t="str">
            <v>TH-37</v>
          </cell>
          <cell r="C348" t="str">
            <v>Amnat Chareon</v>
          </cell>
          <cell r="D348">
            <v>2017</v>
          </cell>
          <cell r="E348">
            <v>5706.2851069999997</v>
          </cell>
        </row>
        <row r="349">
          <cell r="A349" t="str">
            <v>TH-74</v>
          </cell>
          <cell r="C349" t="str">
            <v>Samut Sakhon</v>
          </cell>
          <cell r="D349">
            <v>2017</v>
          </cell>
          <cell r="E349">
            <v>25973.62068</v>
          </cell>
        </row>
        <row r="350">
          <cell r="A350" t="str">
            <v>TH-11</v>
          </cell>
          <cell r="C350" t="str">
            <v>Samut Prakan</v>
          </cell>
          <cell r="D350">
            <v>2017</v>
          </cell>
          <cell r="E350">
            <v>64661.929060000002</v>
          </cell>
        </row>
        <row r="351">
          <cell r="A351" t="str">
            <v>TH-55</v>
          </cell>
          <cell r="C351" t="str">
            <v>Nan</v>
          </cell>
          <cell r="D351">
            <v>2017</v>
          </cell>
          <cell r="E351">
            <v>7217.5334670000002</v>
          </cell>
        </row>
        <row r="352">
          <cell r="A352" t="str">
            <v>TH-22</v>
          </cell>
          <cell r="C352" t="str">
            <v>Chanthaburi</v>
          </cell>
          <cell r="D352">
            <v>2017</v>
          </cell>
          <cell r="E352">
            <v>14040.64068</v>
          </cell>
        </row>
        <row r="353">
          <cell r="A353" t="str">
            <v>TH-48</v>
          </cell>
          <cell r="C353" t="str">
            <v>Nakhon Phanom</v>
          </cell>
          <cell r="D353">
            <v>2017</v>
          </cell>
          <cell r="E353">
            <v>12325.67246</v>
          </cell>
        </row>
        <row r="354">
          <cell r="A354" t="str">
            <v>TH-71</v>
          </cell>
          <cell r="C354" t="str">
            <v>Kanchanaburi</v>
          </cell>
          <cell r="D354">
            <v>2017</v>
          </cell>
          <cell r="E354">
            <v>27365.416079999999</v>
          </cell>
        </row>
        <row r="355">
          <cell r="A355" t="str">
            <v>TH-58</v>
          </cell>
          <cell r="C355" t="str">
            <v>Mae Hong Son</v>
          </cell>
          <cell r="D355">
            <v>2017</v>
          </cell>
          <cell r="E355">
            <v>2602.251843</v>
          </cell>
        </row>
        <row r="356">
          <cell r="A356" t="str">
            <v>TH-27</v>
          </cell>
          <cell r="C356" t="str">
            <v>Sa Kaew</v>
          </cell>
          <cell r="D356">
            <v>2017</v>
          </cell>
          <cell r="E356">
            <v>10919.49221</v>
          </cell>
        </row>
        <row r="357">
          <cell r="A357" t="str">
            <v>TH-91</v>
          </cell>
          <cell r="C357" t="str">
            <v>Satun</v>
          </cell>
          <cell r="D357">
            <v>2017</v>
          </cell>
          <cell r="E357">
            <v>8823.1512939999993</v>
          </cell>
        </row>
        <row r="358">
          <cell r="A358" t="str">
            <v>TH-73</v>
          </cell>
          <cell r="C358" t="str">
            <v>Nakhon Pathom</v>
          </cell>
          <cell r="D358">
            <v>2017</v>
          </cell>
          <cell r="E358">
            <v>42484.679629999999</v>
          </cell>
        </row>
        <row r="359">
          <cell r="A359" t="str">
            <v>TH-51</v>
          </cell>
          <cell r="C359" t="str">
            <v>Lamphun</v>
          </cell>
          <cell r="D359">
            <v>2017</v>
          </cell>
          <cell r="E359">
            <v>11307.140590000001</v>
          </cell>
        </row>
        <row r="360">
          <cell r="A360" t="str">
            <v>TH-23</v>
          </cell>
          <cell r="C360" t="str">
            <v>Trat</v>
          </cell>
          <cell r="D360">
            <v>2017</v>
          </cell>
          <cell r="E360">
            <v>4246.0417649999999</v>
          </cell>
        </row>
        <row r="361">
          <cell r="A361" t="str">
            <v>TH-70</v>
          </cell>
          <cell r="C361" t="str">
            <v>Ratchaburi</v>
          </cell>
          <cell r="D361">
            <v>2017</v>
          </cell>
          <cell r="E361">
            <v>31785.954720000002</v>
          </cell>
        </row>
        <row r="362">
          <cell r="A362" t="str">
            <v>TH-35</v>
          </cell>
          <cell r="C362" t="str">
            <v>Yasothon</v>
          </cell>
          <cell r="D362">
            <v>2017</v>
          </cell>
          <cell r="E362">
            <v>7705.0458129999997</v>
          </cell>
        </row>
        <row r="363">
          <cell r="A363" t="str">
            <v>TH-54</v>
          </cell>
          <cell r="C363" t="str">
            <v>Phrae</v>
          </cell>
          <cell r="D363">
            <v>2017</v>
          </cell>
          <cell r="E363">
            <v>10327.05567</v>
          </cell>
        </row>
        <row r="364">
          <cell r="A364" t="str">
            <v>TH-95</v>
          </cell>
          <cell r="C364" t="str">
            <v>Yala</v>
          </cell>
          <cell r="D364">
            <v>2017</v>
          </cell>
          <cell r="E364">
            <v>10723.410879999999</v>
          </cell>
        </row>
        <row r="365">
          <cell r="A365" t="str">
            <v>TH-53</v>
          </cell>
          <cell r="C365" t="str">
            <v>Uttaradit</v>
          </cell>
          <cell r="D365">
            <v>2017</v>
          </cell>
          <cell r="E365">
            <v>11013.53125</v>
          </cell>
        </row>
        <row r="366">
          <cell r="A366" t="str">
            <v>TH-31</v>
          </cell>
          <cell r="C366" t="str">
            <v>Buri Ram</v>
          </cell>
          <cell r="D366">
            <v>2017</v>
          </cell>
          <cell r="E366">
            <v>18397.310700000002</v>
          </cell>
        </row>
        <row r="367">
          <cell r="A367" t="str">
            <v>TH-62</v>
          </cell>
          <cell r="C367" t="str">
            <v>Kam Phaeng Phet</v>
          </cell>
          <cell r="D367">
            <v>2017</v>
          </cell>
          <cell r="E367">
            <v>17726.75603</v>
          </cell>
        </row>
        <row r="368">
          <cell r="A368" t="str">
            <v>TH-52</v>
          </cell>
          <cell r="C368" t="str">
            <v>Lampang</v>
          </cell>
          <cell r="D368">
            <v>2017</v>
          </cell>
          <cell r="E368">
            <v>19466.393609999999</v>
          </cell>
        </row>
        <row r="369">
          <cell r="A369" t="str">
            <v>TH-12</v>
          </cell>
          <cell r="C369" t="str">
            <v>Nonthaburi</v>
          </cell>
          <cell r="D369">
            <v>2017</v>
          </cell>
          <cell r="E369">
            <v>37085.912790000002</v>
          </cell>
        </row>
        <row r="370">
          <cell r="A370" t="str">
            <v>TH-38</v>
          </cell>
          <cell r="C370" t="str">
            <v>Bueng Kan</v>
          </cell>
          <cell r="D370">
            <v>2017</v>
          </cell>
          <cell r="E370">
            <v>6291.9571809999998</v>
          </cell>
        </row>
        <row r="371">
          <cell r="A371" t="str">
            <v>TH-96</v>
          </cell>
          <cell r="C371" t="str">
            <v>Narathiwat</v>
          </cell>
          <cell r="D371">
            <v>2017</v>
          </cell>
          <cell r="E371">
            <v>12173.467479999999</v>
          </cell>
        </row>
        <row r="372">
          <cell r="A372" t="str">
            <v>TH-34</v>
          </cell>
          <cell r="C372" t="str">
            <v>Ubon Ratchathani</v>
          </cell>
          <cell r="D372">
            <v>2017</v>
          </cell>
          <cell r="E372">
            <v>25082.275809999999</v>
          </cell>
        </row>
        <row r="373">
          <cell r="A373" t="str">
            <v>TH-77</v>
          </cell>
          <cell r="C373" t="str">
            <v>Phachuap Khiri Khan</v>
          </cell>
          <cell r="D373">
            <v>2017</v>
          </cell>
          <cell r="E373">
            <v>20024.229009999999</v>
          </cell>
        </row>
        <row r="374">
          <cell r="A374" t="str">
            <v>TH-90</v>
          </cell>
          <cell r="C374" t="str">
            <v>Songkhla</v>
          </cell>
          <cell r="D374">
            <v>2017</v>
          </cell>
          <cell r="E374">
            <v>39847.63063</v>
          </cell>
        </row>
        <row r="375">
          <cell r="A375" t="str">
            <v>TH-83</v>
          </cell>
          <cell r="C375" t="str">
            <v>Phuket</v>
          </cell>
          <cell r="D375">
            <v>2017</v>
          </cell>
          <cell r="E375">
            <v>19518.778999999999</v>
          </cell>
        </row>
        <row r="376">
          <cell r="A376" t="str">
            <v>TH-15</v>
          </cell>
          <cell r="C376" t="str">
            <v>Ang Thong</v>
          </cell>
          <cell r="D376">
            <v>2017</v>
          </cell>
          <cell r="E376">
            <v>9882.2297749999998</v>
          </cell>
        </row>
        <row r="377">
          <cell r="A377" t="str">
            <v>TH-44</v>
          </cell>
          <cell r="C377" t="str">
            <v>Maha Sarakham</v>
          </cell>
          <cell r="D377">
            <v>2017</v>
          </cell>
          <cell r="E377">
            <v>16481.119719999999</v>
          </cell>
        </row>
        <row r="378">
          <cell r="A378" t="str">
            <v>TH-92</v>
          </cell>
          <cell r="C378" t="str">
            <v>Trang</v>
          </cell>
          <cell r="D378">
            <v>2017</v>
          </cell>
          <cell r="E378">
            <v>14087.537469999999</v>
          </cell>
        </row>
        <row r="379">
          <cell r="A379" t="str">
            <v>TH-72</v>
          </cell>
          <cell r="C379" t="str">
            <v>Suphan Buri</v>
          </cell>
          <cell r="D379">
            <v>2017</v>
          </cell>
          <cell r="E379">
            <v>28890.642790000002</v>
          </cell>
        </row>
        <row r="380">
          <cell r="A380" t="str">
            <v>TH-17</v>
          </cell>
          <cell r="C380" t="str">
            <v>Singburi</v>
          </cell>
          <cell r="D380">
            <v>2017</v>
          </cell>
          <cell r="E380">
            <v>8250.7287059999999</v>
          </cell>
        </row>
        <row r="381">
          <cell r="A381" t="str">
            <v>TH-75</v>
          </cell>
          <cell r="C381" t="str">
            <v>Samut Songkhram</v>
          </cell>
          <cell r="D381">
            <v>2017</v>
          </cell>
          <cell r="E381">
            <v>6891.5074240000004</v>
          </cell>
        </row>
        <row r="382">
          <cell r="A382" t="str">
            <v>TH-21</v>
          </cell>
          <cell r="C382" t="str">
            <v>Rayong</v>
          </cell>
          <cell r="D382">
            <v>2017</v>
          </cell>
          <cell r="E382">
            <v>86016.260630000004</v>
          </cell>
        </row>
        <row r="383">
          <cell r="A383" t="str">
            <v>TH-25</v>
          </cell>
          <cell r="C383" t="str">
            <v>Prachin Buri</v>
          </cell>
          <cell r="D383">
            <v>2017</v>
          </cell>
          <cell r="E383">
            <v>25014.953310000001</v>
          </cell>
        </row>
        <row r="384">
          <cell r="A384" t="str">
            <v>TH-45</v>
          </cell>
          <cell r="C384" t="str">
            <v>Roi Et</v>
          </cell>
          <cell r="D384">
            <v>2017</v>
          </cell>
          <cell r="E384">
            <v>17748.875069999998</v>
          </cell>
        </row>
        <row r="385">
          <cell r="A385" t="str">
            <v>TH-56</v>
          </cell>
          <cell r="C385" t="str">
            <v>Phayao</v>
          </cell>
          <cell r="D385">
            <v>2017</v>
          </cell>
          <cell r="E385">
            <v>7454.8502520000002</v>
          </cell>
        </row>
        <row r="386">
          <cell r="A386" t="str">
            <v>TH-60</v>
          </cell>
          <cell r="C386" t="str">
            <v>Nakhon Sawan</v>
          </cell>
          <cell r="D386">
            <v>2017</v>
          </cell>
          <cell r="E386">
            <v>23880.523010000001</v>
          </cell>
        </row>
        <row r="387">
          <cell r="A387" t="str">
            <v>TH-39</v>
          </cell>
          <cell r="C387" t="str">
            <v>Nongbua Lamphu</v>
          </cell>
          <cell r="D387">
            <v>2018</v>
          </cell>
          <cell r="E387">
            <v>7657.3606479999999</v>
          </cell>
        </row>
        <row r="388">
          <cell r="A388" t="str">
            <v>TH-24</v>
          </cell>
          <cell r="C388" t="str">
            <v>Chachoengsao</v>
          </cell>
          <cell r="D388">
            <v>2018</v>
          </cell>
          <cell r="E388">
            <v>36129.322970000001</v>
          </cell>
        </row>
        <row r="389">
          <cell r="A389" t="str">
            <v>TH-32</v>
          </cell>
          <cell r="C389" t="str">
            <v>Surin</v>
          </cell>
          <cell r="D389">
            <v>2018</v>
          </cell>
          <cell r="E389">
            <v>15899.12674</v>
          </cell>
        </row>
        <row r="390">
          <cell r="A390" t="str">
            <v>TH-30</v>
          </cell>
          <cell r="C390" t="str">
            <v>Nakhon Ratchasima</v>
          </cell>
          <cell r="D390">
            <v>2018</v>
          </cell>
          <cell r="E390">
            <v>63311.34244</v>
          </cell>
        </row>
        <row r="391">
          <cell r="A391" t="str">
            <v>TH-64</v>
          </cell>
          <cell r="C391" t="str">
            <v>Sukhothai</v>
          </cell>
          <cell r="D391">
            <v>2018</v>
          </cell>
          <cell r="E391">
            <v>12481.32504</v>
          </cell>
        </row>
        <row r="392">
          <cell r="A392" t="str">
            <v>TH-76</v>
          </cell>
          <cell r="C392" t="str">
            <v>Phetchaburi</v>
          </cell>
          <cell r="D392">
            <v>2018</v>
          </cell>
          <cell r="E392">
            <v>29852.04969</v>
          </cell>
        </row>
        <row r="393">
          <cell r="A393" t="str">
            <v>TH-36</v>
          </cell>
          <cell r="C393" t="str">
            <v>Chaiyaphum</v>
          </cell>
          <cell r="D393">
            <v>2018</v>
          </cell>
          <cell r="E393">
            <v>19846.30098</v>
          </cell>
        </row>
        <row r="394">
          <cell r="A394" t="str">
            <v>TH-67</v>
          </cell>
          <cell r="C394" t="str">
            <v>Phetchabun</v>
          </cell>
          <cell r="D394">
            <v>2018</v>
          </cell>
          <cell r="E394">
            <v>18982.22437</v>
          </cell>
        </row>
        <row r="395">
          <cell r="A395" t="str">
            <v>TH-84</v>
          </cell>
          <cell r="C395" t="str">
            <v>Surat Thani</v>
          </cell>
          <cell r="D395">
            <v>2018</v>
          </cell>
          <cell r="E395">
            <v>29629.290939999999</v>
          </cell>
        </row>
        <row r="396">
          <cell r="A396" t="str">
            <v>TH-33</v>
          </cell>
          <cell r="C396" t="str">
            <v>Si Sa Ket</v>
          </cell>
          <cell r="D396">
            <v>2018</v>
          </cell>
          <cell r="E396">
            <v>14653.324210000001</v>
          </cell>
        </row>
        <row r="397">
          <cell r="A397" t="str">
            <v>TH-43</v>
          </cell>
          <cell r="C397" t="str">
            <v>Nong Khai</v>
          </cell>
          <cell r="D397">
            <v>2018</v>
          </cell>
          <cell r="E397">
            <v>11813.011329999999</v>
          </cell>
        </row>
        <row r="398">
          <cell r="A398" t="str">
            <v>TH-10</v>
          </cell>
          <cell r="C398" t="str">
            <v>Bangkok</v>
          </cell>
          <cell r="D398">
            <v>2018</v>
          </cell>
          <cell r="E398">
            <v>167180.34239999999</v>
          </cell>
        </row>
        <row r="399">
          <cell r="A399" t="str">
            <v>TH-40</v>
          </cell>
          <cell r="C399" t="str">
            <v>Khon Kaen</v>
          </cell>
          <cell r="D399">
            <v>2018</v>
          </cell>
          <cell r="E399">
            <v>40423.731359999998</v>
          </cell>
        </row>
        <row r="400">
          <cell r="A400" t="str">
            <v>TH-42</v>
          </cell>
          <cell r="C400" t="str">
            <v>Loei</v>
          </cell>
          <cell r="D400">
            <v>2018</v>
          </cell>
          <cell r="E400">
            <v>11036.39659</v>
          </cell>
        </row>
        <row r="401">
          <cell r="A401" t="str">
            <v>TH-19</v>
          </cell>
          <cell r="C401" t="str">
            <v>Saraburi</v>
          </cell>
          <cell r="D401">
            <v>2018</v>
          </cell>
          <cell r="E401">
            <v>38076.482609999999</v>
          </cell>
        </row>
        <row r="402">
          <cell r="A402" t="str">
            <v>TH-61</v>
          </cell>
          <cell r="C402" t="str">
            <v>Uthai Thani</v>
          </cell>
          <cell r="D402">
            <v>2018</v>
          </cell>
          <cell r="E402">
            <v>8194.0603680000004</v>
          </cell>
        </row>
        <row r="403">
          <cell r="A403" t="str">
            <v>TH-86</v>
          </cell>
          <cell r="C403" t="str">
            <v>Chumphon</v>
          </cell>
          <cell r="D403">
            <v>2018</v>
          </cell>
          <cell r="E403">
            <v>13130.98388</v>
          </cell>
        </row>
        <row r="404">
          <cell r="A404" t="str">
            <v>TH-46</v>
          </cell>
          <cell r="C404" t="str">
            <v>Kalasin</v>
          </cell>
          <cell r="D404">
            <v>2018</v>
          </cell>
          <cell r="E404">
            <v>17818.795910000001</v>
          </cell>
        </row>
        <row r="405">
          <cell r="A405" t="str">
            <v>TH-65</v>
          </cell>
          <cell r="C405" t="str">
            <v>Phitsanulok</v>
          </cell>
          <cell r="D405">
            <v>2018</v>
          </cell>
          <cell r="E405">
            <v>22751.445930000002</v>
          </cell>
        </row>
        <row r="406">
          <cell r="A406" t="str">
            <v>TH-85</v>
          </cell>
          <cell r="C406" t="str">
            <v>Ranong</v>
          </cell>
          <cell r="D406">
            <v>2018</v>
          </cell>
          <cell r="E406">
            <v>5302.0092869999999</v>
          </cell>
        </row>
        <row r="407">
          <cell r="A407" t="str">
            <v>TH-41</v>
          </cell>
          <cell r="C407" t="str">
            <v>Udon Thani</v>
          </cell>
          <cell r="D407">
            <v>2018</v>
          </cell>
          <cell r="E407">
            <v>25984.829440000001</v>
          </cell>
        </row>
        <row r="408">
          <cell r="A408" t="str">
            <v>TH-47</v>
          </cell>
          <cell r="C408" t="str">
            <v>Sakon Nakhon</v>
          </cell>
          <cell r="D408">
            <v>2018</v>
          </cell>
          <cell r="E408">
            <v>16173.589330000001</v>
          </cell>
        </row>
        <row r="409">
          <cell r="A409" t="str">
            <v>TH-57</v>
          </cell>
          <cell r="C409" t="str">
            <v>Chiang Rai</v>
          </cell>
          <cell r="D409">
            <v>2018</v>
          </cell>
          <cell r="E409">
            <v>25376.27492</v>
          </cell>
        </row>
        <row r="410">
          <cell r="A410" t="str">
            <v>TH-63</v>
          </cell>
          <cell r="C410" t="str">
            <v>Tak</v>
          </cell>
          <cell r="D410">
            <v>2018</v>
          </cell>
          <cell r="E410">
            <v>14196.988960000001</v>
          </cell>
        </row>
        <row r="411">
          <cell r="A411" t="str">
            <v>TH-14</v>
          </cell>
          <cell r="C411" t="str">
            <v>Phra Nakhon Sri Ayuthaya</v>
          </cell>
          <cell r="D411">
            <v>2018</v>
          </cell>
          <cell r="E411">
            <v>46710.317130000003</v>
          </cell>
        </row>
        <row r="412">
          <cell r="A412" t="str">
            <v>TH-66</v>
          </cell>
          <cell r="C412" t="str">
            <v>Phichit</v>
          </cell>
          <cell r="D412">
            <v>2018</v>
          </cell>
          <cell r="E412">
            <v>11087.349609999999</v>
          </cell>
        </row>
        <row r="413">
          <cell r="A413" t="str">
            <v>TH-93</v>
          </cell>
          <cell r="C413" t="str">
            <v>Phatthalung</v>
          </cell>
          <cell r="D413">
            <v>2018</v>
          </cell>
          <cell r="E413">
            <v>10081.199210000001</v>
          </cell>
        </row>
        <row r="414">
          <cell r="A414" t="str">
            <v>TH-82</v>
          </cell>
          <cell r="C414" t="str">
            <v>Phangnga</v>
          </cell>
          <cell r="D414">
            <v>2018</v>
          </cell>
          <cell r="E414">
            <v>8533.4049709999999</v>
          </cell>
        </row>
        <row r="415">
          <cell r="A415" t="str">
            <v>TH-94</v>
          </cell>
          <cell r="C415" t="str">
            <v>Pattani</v>
          </cell>
          <cell r="D415">
            <v>2018</v>
          </cell>
          <cell r="E415">
            <v>14149.976290000001</v>
          </cell>
        </row>
        <row r="416">
          <cell r="A416" t="str">
            <v>TH-13</v>
          </cell>
          <cell r="C416" t="str">
            <v>Pathum Thani</v>
          </cell>
          <cell r="D416">
            <v>2018</v>
          </cell>
          <cell r="E416">
            <v>57479.778610000001</v>
          </cell>
        </row>
        <row r="417">
          <cell r="A417" t="str">
            <v>TH-80</v>
          </cell>
          <cell r="C417" t="str">
            <v>Nakhon Si Thammarat</v>
          </cell>
          <cell r="D417">
            <v>2018</v>
          </cell>
          <cell r="E417">
            <v>26386.08223</v>
          </cell>
        </row>
        <row r="418">
          <cell r="A418" t="str">
            <v>TH-26</v>
          </cell>
          <cell r="C418" t="str">
            <v>Nakhon Nayok</v>
          </cell>
          <cell r="D418">
            <v>2018</v>
          </cell>
          <cell r="E418">
            <v>10011.46933</v>
          </cell>
        </row>
        <row r="419">
          <cell r="A419" t="str">
            <v>TH-49</v>
          </cell>
          <cell r="C419" t="str">
            <v>Mukdahan</v>
          </cell>
          <cell r="D419">
            <v>2018</v>
          </cell>
          <cell r="E419">
            <v>6467.6507840000004</v>
          </cell>
        </row>
        <row r="420">
          <cell r="A420" t="str">
            <v>TH-16</v>
          </cell>
          <cell r="C420" t="str">
            <v>Lop Buri</v>
          </cell>
          <cell r="D420">
            <v>2018</v>
          </cell>
          <cell r="E420">
            <v>18641.31364</v>
          </cell>
        </row>
        <row r="421">
          <cell r="A421" t="str">
            <v>TH-81</v>
          </cell>
          <cell r="C421" t="str">
            <v>Krabi</v>
          </cell>
          <cell r="D421">
            <v>2018</v>
          </cell>
          <cell r="E421">
            <v>11885.28775</v>
          </cell>
        </row>
        <row r="422">
          <cell r="A422" t="str">
            <v>TH-20</v>
          </cell>
          <cell r="C422" t="str">
            <v>Chon Buri</v>
          </cell>
          <cell r="D422">
            <v>2018</v>
          </cell>
          <cell r="E422">
            <v>114312.4053</v>
          </cell>
        </row>
        <row r="423">
          <cell r="A423" t="str">
            <v>TH-50</v>
          </cell>
          <cell r="C423" t="str">
            <v>Chiang Mai</v>
          </cell>
          <cell r="D423">
            <v>2018</v>
          </cell>
          <cell r="E423">
            <v>47060.944790000001</v>
          </cell>
        </row>
        <row r="424">
          <cell r="A424" t="str">
            <v>TH-18</v>
          </cell>
          <cell r="C424" t="str">
            <v>Chai Nat</v>
          </cell>
          <cell r="D424">
            <v>2018</v>
          </cell>
          <cell r="E424">
            <v>10866.80796</v>
          </cell>
        </row>
        <row r="425">
          <cell r="A425" t="str">
            <v>TH-37</v>
          </cell>
          <cell r="C425" t="str">
            <v>Amnat Chareon</v>
          </cell>
          <cell r="D425">
            <v>2018</v>
          </cell>
          <cell r="E425">
            <v>6163.2699210000001</v>
          </cell>
        </row>
        <row r="426">
          <cell r="A426" t="str">
            <v>TH-74</v>
          </cell>
          <cell r="C426" t="str">
            <v>Samut Sakhon</v>
          </cell>
          <cell r="D426">
            <v>2018</v>
          </cell>
          <cell r="E426">
            <v>26777.17311</v>
          </cell>
        </row>
        <row r="427">
          <cell r="A427" t="str">
            <v>TH-11</v>
          </cell>
          <cell r="C427" t="str">
            <v>Samut Prakan</v>
          </cell>
          <cell r="D427">
            <v>2018</v>
          </cell>
          <cell r="E427">
            <v>66894.802370000005</v>
          </cell>
        </row>
        <row r="428">
          <cell r="A428" t="str">
            <v>TH-55</v>
          </cell>
          <cell r="C428" t="str">
            <v>Nan</v>
          </cell>
          <cell r="D428">
            <v>2018</v>
          </cell>
          <cell r="E428">
            <v>7441.1405999999997</v>
          </cell>
        </row>
        <row r="429">
          <cell r="A429" t="str">
            <v>TH-22</v>
          </cell>
          <cell r="C429" t="str">
            <v>Chanthaburi</v>
          </cell>
          <cell r="D429">
            <v>2018</v>
          </cell>
          <cell r="E429">
            <v>15411.743909999999</v>
          </cell>
        </row>
        <row r="430">
          <cell r="A430" t="str">
            <v>TH-48</v>
          </cell>
          <cell r="C430" t="str">
            <v>Nakhon Phanom</v>
          </cell>
          <cell r="D430">
            <v>2018</v>
          </cell>
          <cell r="E430">
            <v>12600.455840000001</v>
          </cell>
        </row>
        <row r="431">
          <cell r="A431" t="str">
            <v>TH-71</v>
          </cell>
          <cell r="C431" t="str">
            <v>Kanchanaburi</v>
          </cell>
          <cell r="D431">
            <v>2018</v>
          </cell>
          <cell r="E431">
            <v>27834.949049999999</v>
          </cell>
        </row>
        <row r="432">
          <cell r="A432" t="str">
            <v>TH-58</v>
          </cell>
          <cell r="C432" t="str">
            <v>Mae Hong Son</v>
          </cell>
          <cell r="D432">
            <v>2018</v>
          </cell>
          <cell r="E432">
            <v>2777.2880319999999</v>
          </cell>
        </row>
        <row r="433">
          <cell r="A433" t="str">
            <v>TH-27</v>
          </cell>
          <cell r="C433" t="str">
            <v>Sa Kaew</v>
          </cell>
          <cell r="D433">
            <v>2018</v>
          </cell>
          <cell r="E433">
            <v>12461.28061</v>
          </cell>
        </row>
        <row r="434">
          <cell r="A434" t="str">
            <v>TH-91</v>
          </cell>
          <cell r="C434" t="str">
            <v>Satun</v>
          </cell>
          <cell r="D434">
            <v>2018</v>
          </cell>
          <cell r="E434">
            <v>9706.0378930000006</v>
          </cell>
        </row>
        <row r="435">
          <cell r="A435" t="str">
            <v>TH-73</v>
          </cell>
          <cell r="C435" t="str">
            <v>Nakhon Pathom</v>
          </cell>
          <cell r="D435">
            <v>2018</v>
          </cell>
          <cell r="E435">
            <v>43893.751709999997</v>
          </cell>
        </row>
        <row r="436">
          <cell r="A436" t="str">
            <v>TH-51</v>
          </cell>
          <cell r="C436" t="str">
            <v>Lamphun</v>
          </cell>
          <cell r="D436">
            <v>2018</v>
          </cell>
          <cell r="E436">
            <v>12069.205019999999</v>
          </cell>
        </row>
        <row r="437">
          <cell r="A437" t="str">
            <v>TH-23</v>
          </cell>
          <cell r="C437" t="str">
            <v>Trat</v>
          </cell>
          <cell r="D437">
            <v>2018</v>
          </cell>
          <cell r="E437">
            <v>4631.26</v>
          </cell>
        </row>
        <row r="438">
          <cell r="A438" t="str">
            <v>TH-70</v>
          </cell>
          <cell r="C438" t="str">
            <v>Ratchaburi</v>
          </cell>
          <cell r="D438">
            <v>2018</v>
          </cell>
          <cell r="E438">
            <v>33360.827570000001</v>
          </cell>
        </row>
        <row r="439">
          <cell r="A439" t="str">
            <v>TH-35</v>
          </cell>
          <cell r="C439" t="str">
            <v>Yasothon</v>
          </cell>
          <cell r="D439">
            <v>2018</v>
          </cell>
          <cell r="E439">
            <v>7884.9574469999998</v>
          </cell>
        </row>
        <row r="440">
          <cell r="A440" t="str">
            <v>TH-54</v>
          </cell>
          <cell r="C440" t="str">
            <v>Phrae</v>
          </cell>
          <cell r="D440">
            <v>2018</v>
          </cell>
          <cell r="E440">
            <v>10869.853499999999</v>
          </cell>
        </row>
        <row r="441">
          <cell r="A441" t="str">
            <v>TH-95</v>
          </cell>
          <cell r="C441" t="str">
            <v>Yala</v>
          </cell>
          <cell r="D441">
            <v>2018</v>
          </cell>
          <cell r="E441">
            <v>11979.809929999999</v>
          </cell>
        </row>
        <row r="442">
          <cell r="A442" t="str">
            <v>TH-53</v>
          </cell>
          <cell r="C442" t="str">
            <v>Uttaradit</v>
          </cell>
          <cell r="D442">
            <v>2018</v>
          </cell>
          <cell r="E442">
            <v>11028.269109999999</v>
          </cell>
        </row>
        <row r="443">
          <cell r="A443" t="str">
            <v>TH-31</v>
          </cell>
          <cell r="C443" t="str">
            <v>Buri Ram</v>
          </cell>
          <cell r="D443">
            <v>2018</v>
          </cell>
          <cell r="E443">
            <v>20383.690900000001</v>
          </cell>
        </row>
        <row r="444">
          <cell r="A444" t="str">
            <v>TH-62</v>
          </cell>
          <cell r="C444" t="str">
            <v>Kam Phaeng Phet</v>
          </cell>
          <cell r="D444">
            <v>2018</v>
          </cell>
          <cell r="E444">
            <v>18134.88969</v>
          </cell>
        </row>
        <row r="445">
          <cell r="A445" t="str">
            <v>TH-52</v>
          </cell>
          <cell r="C445" t="str">
            <v>Lampang</v>
          </cell>
          <cell r="D445">
            <v>2018</v>
          </cell>
          <cell r="E445">
            <v>21107.09995</v>
          </cell>
        </row>
        <row r="446">
          <cell r="A446" t="str">
            <v>TH-12</v>
          </cell>
          <cell r="C446" t="str">
            <v>Nonthaburi</v>
          </cell>
          <cell r="D446">
            <v>2018</v>
          </cell>
          <cell r="E446">
            <v>38448.395080000002</v>
          </cell>
        </row>
        <row r="447">
          <cell r="A447" t="str">
            <v>TH-38</v>
          </cell>
          <cell r="C447" t="str">
            <v>Bueng Kan</v>
          </cell>
          <cell r="D447">
            <v>2018</v>
          </cell>
          <cell r="E447">
            <v>6622.8024370000003</v>
          </cell>
        </row>
        <row r="448">
          <cell r="A448" t="str">
            <v>TH-96</v>
          </cell>
          <cell r="C448" t="str">
            <v>Narathiwat</v>
          </cell>
          <cell r="D448">
            <v>2018</v>
          </cell>
          <cell r="E448">
            <v>13427.769329999999</v>
          </cell>
        </row>
        <row r="449">
          <cell r="A449" t="str">
            <v>TH-34</v>
          </cell>
          <cell r="C449" t="str">
            <v>Ubon Ratchathani</v>
          </cell>
          <cell r="D449">
            <v>2018</v>
          </cell>
          <cell r="E449">
            <v>25838.092280000001</v>
          </cell>
        </row>
        <row r="450">
          <cell r="A450" t="str">
            <v>TH-77</v>
          </cell>
          <cell r="C450" t="str">
            <v>Phachuap Khiri Khan</v>
          </cell>
          <cell r="D450">
            <v>2018</v>
          </cell>
          <cell r="E450">
            <v>21672.534489999998</v>
          </cell>
        </row>
        <row r="451">
          <cell r="A451" t="str">
            <v>TH-90</v>
          </cell>
          <cell r="C451" t="str">
            <v>Songkhla</v>
          </cell>
          <cell r="D451">
            <v>2018</v>
          </cell>
          <cell r="E451">
            <v>42914.839310000003</v>
          </cell>
        </row>
        <row r="452">
          <cell r="A452" t="str">
            <v>TH-83</v>
          </cell>
          <cell r="C452" t="str">
            <v>Phuket</v>
          </cell>
          <cell r="D452">
            <v>2018</v>
          </cell>
          <cell r="E452">
            <v>19721.742750000001</v>
          </cell>
        </row>
        <row r="453">
          <cell r="A453" t="str">
            <v>TH-15</v>
          </cell>
          <cell r="C453" t="str">
            <v>Ang Thong</v>
          </cell>
          <cell r="D453">
            <v>2018</v>
          </cell>
          <cell r="E453">
            <v>10330.405559999999</v>
          </cell>
        </row>
        <row r="454">
          <cell r="A454" t="str">
            <v>TH-44</v>
          </cell>
          <cell r="C454" t="str">
            <v>Maha Sarakham</v>
          </cell>
          <cell r="D454">
            <v>2018</v>
          </cell>
          <cell r="E454">
            <v>18137.091270000001</v>
          </cell>
        </row>
        <row r="455">
          <cell r="A455" t="str">
            <v>TH-92</v>
          </cell>
          <cell r="C455" t="str">
            <v>Trang</v>
          </cell>
          <cell r="D455">
            <v>2018</v>
          </cell>
          <cell r="E455">
            <v>15595.59974</v>
          </cell>
        </row>
        <row r="456">
          <cell r="A456" t="str">
            <v>TH-72</v>
          </cell>
          <cell r="C456" t="str">
            <v>Suphan Buri</v>
          </cell>
          <cell r="D456">
            <v>2018</v>
          </cell>
          <cell r="E456">
            <v>29696.318319999998</v>
          </cell>
        </row>
        <row r="457">
          <cell r="A457" t="str">
            <v>TH-17</v>
          </cell>
          <cell r="C457" t="str">
            <v>Singburi</v>
          </cell>
          <cell r="D457">
            <v>2018</v>
          </cell>
          <cell r="E457">
            <v>8716.1129739999997</v>
          </cell>
        </row>
        <row r="458">
          <cell r="A458" t="str">
            <v>TH-75</v>
          </cell>
          <cell r="C458" t="str">
            <v>Samut Songkhram</v>
          </cell>
          <cell r="D458">
            <v>2018</v>
          </cell>
          <cell r="E458">
            <v>8085.8830770000004</v>
          </cell>
        </row>
        <row r="459">
          <cell r="A459" t="str">
            <v>TH-21</v>
          </cell>
          <cell r="C459" t="str">
            <v>Rayong</v>
          </cell>
          <cell r="D459">
            <v>2018</v>
          </cell>
          <cell r="E459">
            <v>86803.976309999998</v>
          </cell>
        </row>
        <row r="460">
          <cell r="A460" t="str">
            <v>TH-25</v>
          </cell>
          <cell r="C460" t="str">
            <v>Prachin Buri</v>
          </cell>
          <cell r="D460">
            <v>2018</v>
          </cell>
          <cell r="E460">
            <v>25333.657289999999</v>
          </cell>
        </row>
        <row r="461">
          <cell r="A461" t="str">
            <v>TH-45</v>
          </cell>
          <cell r="C461" t="str">
            <v>Roi Et</v>
          </cell>
          <cell r="D461">
            <v>2018</v>
          </cell>
          <cell r="E461">
            <v>18810.651279999998</v>
          </cell>
        </row>
        <row r="462">
          <cell r="A462" t="str">
            <v>TH-56</v>
          </cell>
          <cell r="C462" t="str">
            <v>Phayao</v>
          </cell>
          <cell r="D462">
            <v>2018</v>
          </cell>
          <cell r="E462">
            <v>8014.9252230000002</v>
          </cell>
        </row>
        <row r="463">
          <cell r="A463" t="str">
            <v>TH-60</v>
          </cell>
          <cell r="C463" t="str">
            <v>Nakhon Sawan</v>
          </cell>
          <cell r="D463">
            <v>2018</v>
          </cell>
          <cell r="E463">
            <v>25107.467949999998</v>
          </cell>
        </row>
        <row r="464">
          <cell r="A464" t="str">
            <v>TH-39</v>
          </cell>
          <cell r="C464" t="str">
            <v>Nongbua Lamphu</v>
          </cell>
          <cell r="D464">
            <v>2019</v>
          </cell>
          <cell r="E464">
            <v>7978.0649350000003</v>
          </cell>
        </row>
        <row r="465">
          <cell r="A465" t="str">
            <v>TH-24</v>
          </cell>
          <cell r="C465" t="str">
            <v>Chachoengsao</v>
          </cell>
          <cell r="D465">
            <v>2019</v>
          </cell>
          <cell r="E465">
            <v>37661.571689999997</v>
          </cell>
        </row>
        <row r="466">
          <cell r="A466" t="str">
            <v>TH-32</v>
          </cell>
          <cell r="C466" t="str">
            <v>Surin</v>
          </cell>
          <cell r="D466">
            <v>2019</v>
          </cell>
          <cell r="E466">
            <v>17027.123390000001</v>
          </cell>
        </row>
        <row r="467">
          <cell r="A467" t="str">
            <v>TH-30</v>
          </cell>
          <cell r="C467" t="str">
            <v>Nakhon Ratchasima</v>
          </cell>
          <cell r="D467">
            <v>2019</v>
          </cell>
          <cell r="E467">
            <v>68205.225789999997</v>
          </cell>
        </row>
        <row r="468">
          <cell r="A468" t="str">
            <v>TH-64</v>
          </cell>
          <cell r="C468" t="str">
            <v>Sukhothai</v>
          </cell>
          <cell r="D468">
            <v>2019</v>
          </cell>
          <cell r="E468">
            <v>13431.5188</v>
          </cell>
        </row>
        <row r="469">
          <cell r="A469" t="str">
            <v>TH-76</v>
          </cell>
          <cell r="C469" t="str">
            <v>Phetchaburi</v>
          </cell>
          <cell r="D469">
            <v>2019</v>
          </cell>
          <cell r="E469">
            <v>30885.62357</v>
          </cell>
        </row>
        <row r="470">
          <cell r="A470" t="str">
            <v>TH-36</v>
          </cell>
          <cell r="C470" t="str">
            <v>Chaiyaphum</v>
          </cell>
          <cell r="D470">
            <v>2019</v>
          </cell>
          <cell r="E470">
            <v>20073.597470000001</v>
          </cell>
        </row>
        <row r="471">
          <cell r="A471" t="str">
            <v>TH-67</v>
          </cell>
          <cell r="C471" t="str">
            <v>Phetchabun</v>
          </cell>
          <cell r="D471">
            <v>2019</v>
          </cell>
          <cell r="E471">
            <v>20525.183509999999</v>
          </cell>
        </row>
        <row r="472">
          <cell r="A472" t="str">
            <v>TH-84</v>
          </cell>
          <cell r="C472" t="str">
            <v>Surat Thani</v>
          </cell>
          <cell r="D472">
            <v>2019</v>
          </cell>
          <cell r="E472">
            <v>29874.61706</v>
          </cell>
        </row>
        <row r="473">
          <cell r="A473" t="str">
            <v>TH-33</v>
          </cell>
          <cell r="C473" t="str">
            <v>Si Sa Ket</v>
          </cell>
          <cell r="D473">
            <v>2019</v>
          </cell>
          <cell r="E473">
            <v>15710.41697</v>
          </cell>
        </row>
        <row r="474">
          <cell r="A474" t="str">
            <v>TH-43</v>
          </cell>
          <cell r="C474" t="str">
            <v>Nong Khai</v>
          </cell>
          <cell r="D474">
            <v>2019</v>
          </cell>
          <cell r="E474">
            <v>11466.0347</v>
          </cell>
        </row>
        <row r="475">
          <cell r="A475" t="str">
            <v>TH-10</v>
          </cell>
          <cell r="C475" t="str">
            <v>Bangkok</v>
          </cell>
          <cell r="D475">
            <v>2019</v>
          </cell>
          <cell r="E475">
            <v>170700.0275</v>
          </cell>
        </row>
        <row r="476">
          <cell r="A476" t="str">
            <v>TH-40</v>
          </cell>
          <cell r="C476" t="str">
            <v>Khon Kaen</v>
          </cell>
          <cell r="D476">
            <v>2019</v>
          </cell>
          <cell r="E476">
            <v>42094.612959999999</v>
          </cell>
        </row>
        <row r="477">
          <cell r="A477" t="str">
            <v>TH-42</v>
          </cell>
          <cell r="C477" t="str">
            <v>Loei</v>
          </cell>
          <cell r="D477">
            <v>2019</v>
          </cell>
          <cell r="E477">
            <v>11678.890009999999</v>
          </cell>
        </row>
        <row r="478">
          <cell r="A478" t="str">
            <v>TH-19</v>
          </cell>
          <cell r="C478" t="str">
            <v>Saraburi</v>
          </cell>
          <cell r="D478">
            <v>2019</v>
          </cell>
          <cell r="E478">
            <v>42186.131820000002</v>
          </cell>
        </row>
        <row r="479">
          <cell r="A479" t="str">
            <v>TH-61</v>
          </cell>
          <cell r="C479" t="str">
            <v>Uthai Thani</v>
          </cell>
          <cell r="D479">
            <v>2019</v>
          </cell>
          <cell r="E479">
            <v>8604.7766539999993</v>
          </cell>
        </row>
        <row r="480">
          <cell r="A480" t="str">
            <v>TH-86</v>
          </cell>
          <cell r="C480" t="str">
            <v>Chumphon</v>
          </cell>
          <cell r="D480">
            <v>2019</v>
          </cell>
          <cell r="E480">
            <v>13343.557150000001</v>
          </cell>
        </row>
        <row r="481">
          <cell r="A481" t="str">
            <v>TH-46</v>
          </cell>
          <cell r="C481" t="str">
            <v>Kalasin</v>
          </cell>
          <cell r="D481">
            <v>2019</v>
          </cell>
          <cell r="E481">
            <v>17300.87082</v>
          </cell>
        </row>
        <row r="482">
          <cell r="A482" t="str">
            <v>TH-65</v>
          </cell>
          <cell r="C482" t="str">
            <v>Phitsanulok</v>
          </cell>
          <cell r="D482">
            <v>2019</v>
          </cell>
          <cell r="E482">
            <v>25406.2333</v>
          </cell>
        </row>
        <row r="483">
          <cell r="A483" t="str">
            <v>TH-85</v>
          </cell>
          <cell r="C483" t="str">
            <v>Ranong</v>
          </cell>
          <cell r="D483">
            <v>2019</v>
          </cell>
          <cell r="E483">
            <v>5419.69031</v>
          </cell>
        </row>
        <row r="484">
          <cell r="A484" t="str">
            <v>TH-41</v>
          </cell>
          <cell r="C484" t="str">
            <v>Udon Thani</v>
          </cell>
          <cell r="D484">
            <v>2019</v>
          </cell>
          <cell r="E484">
            <v>25866.700789999999</v>
          </cell>
        </row>
        <row r="485">
          <cell r="A485" t="str">
            <v>TH-47</v>
          </cell>
          <cell r="C485" t="str">
            <v>Sakon Nakhon</v>
          </cell>
          <cell r="D485">
            <v>2019</v>
          </cell>
          <cell r="E485">
            <v>16021.02072</v>
          </cell>
        </row>
        <row r="486">
          <cell r="A486" t="str">
            <v>TH-57</v>
          </cell>
          <cell r="C486" t="str">
            <v>Chiang Rai</v>
          </cell>
          <cell r="D486">
            <v>2019</v>
          </cell>
          <cell r="E486">
            <v>28179.56293</v>
          </cell>
        </row>
        <row r="487">
          <cell r="A487" t="str">
            <v>TH-63</v>
          </cell>
          <cell r="C487" t="str">
            <v>Tak</v>
          </cell>
          <cell r="D487">
            <v>2019</v>
          </cell>
          <cell r="E487">
            <v>15574.063889999999</v>
          </cell>
        </row>
        <row r="488">
          <cell r="A488" t="str">
            <v>TH-14</v>
          </cell>
          <cell r="C488" t="str">
            <v>Phra Nakhon Sri Ayuthaya</v>
          </cell>
          <cell r="D488">
            <v>2019</v>
          </cell>
          <cell r="E488">
            <v>49141.636100000003</v>
          </cell>
        </row>
        <row r="489">
          <cell r="A489" t="str">
            <v>TH-66</v>
          </cell>
          <cell r="C489" t="str">
            <v>Phichit</v>
          </cell>
          <cell r="D489">
            <v>2019</v>
          </cell>
          <cell r="E489">
            <v>11911.925509999999</v>
          </cell>
        </row>
        <row r="490">
          <cell r="A490" t="str">
            <v>TH-93</v>
          </cell>
          <cell r="C490" t="str">
            <v>Phatthalung</v>
          </cell>
          <cell r="D490">
            <v>2019</v>
          </cell>
          <cell r="E490">
            <v>11207.20325</v>
          </cell>
        </row>
        <row r="491">
          <cell r="A491" t="str">
            <v>TH-82</v>
          </cell>
          <cell r="C491" t="str">
            <v>Phangnga</v>
          </cell>
          <cell r="D491">
            <v>2019</v>
          </cell>
          <cell r="E491">
            <v>9183.1071909999991</v>
          </cell>
        </row>
        <row r="492">
          <cell r="A492" t="str">
            <v>TH-94</v>
          </cell>
          <cell r="C492" t="str">
            <v>Pattani</v>
          </cell>
          <cell r="D492">
            <v>2019</v>
          </cell>
          <cell r="E492">
            <v>13784.84712</v>
          </cell>
        </row>
        <row r="493">
          <cell r="A493" t="str">
            <v>TH-13</v>
          </cell>
          <cell r="C493" t="str">
            <v>Pathum Thani</v>
          </cell>
          <cell r="D493">
            <v>2019</v>
          </cell>
          <cell r="E493">
            <v>61182.710480000002</v>
          </cell>
        </row>
        <row r="494">
          <cell r="A494" t="str">
            <v>TH-80</v>
          </cell>
          <cell r="C494" t="str">
            <v>Nakhon Si Thammarat</v>
          </cell>
          <cell r="D494">
            <v>2019</v>
          </cell>
          <cell r="E494">
            <v>27200.42496</v>
          </cell>
        </row>
        <row r="495">
          <cell r="A495" t="str">
            <v>TH-26</v>
          </cell>
          <cell r="C495" t="str">
            <v>Nakhon Nayok</v>
          </cell>
          <cell r="D495">
            <v>2019</v>
          </cell>
          <cell r="E495">
            <v>10760.118189999999</v>
          </cell>
        </row>
        <row r="496">
          <cell r="A496" t="str">
            <v>TH-49</v>
          </cell>
          <cell r="C496" t="str">
            <v>Mukdahan</v>
          </cell>
          <cell r="D496">
            <v>2019</v>
          </cell>
          <cell r="E496">
            <v>6806.3488589999997</v>
          </cell>
        </row>
        <row r="497">
          <cell r="A497" t="str">
            <v>TH-16</v>
          </cell>
          <cell r="C497" t="str">
            <v>Lop Buri</v>
          </cell>
          <cell r="D497">
            <v>2019</v>
          </cell>
          <cell r="E497">
            <v>19327.16216</v>
          </cell>
        </row>
        <row r="498">
          <cell r="A498" t="str">
            <v>TH-81</v>
          </cell>
          <cell r="C498" t="str">
            <v>Krabi</v>
          </cell>
          <cell r="D498">
            <v>2019</v>
          </cell>
          <cell r="E498">
            <v>12759.907230000001</v>
          </cell>
        </row>
        <row r="499">
          <cell r="A499" t="str">
            <v>TH-20</v>
          </cell>
          <cell r="C499" t="str">
            <v>Chon Buri</v>
          </cell>
          <cell r="D499">
            <v>2019</v>
          </cell>
          <cell r="E499">
            <v>120140.0043</v>
          </cell>
        </row>
        <row r="500">
          <cell r="A500" t="str">
            <v>TH-50</v>
          </cell>
          <cell r="C500" t="str">
            <v>Chiang Mai</v>
          </cell>
          <cell r="D500">
            <v>2019</v>
          </cell>
          <cell r="E500">
            <v>49161.984709999997</v>
          </cell>
        </row>
        <row r="501">
          <cell r="A501" t="str">
            <v>TH-18</v>
          </cell>
          <cell r="C501" t="str">
            <v>Chai Nat</v>
          </cell>
          <cell r="D501">
            <v>2019</v>
          </cell>
          <cell r="E501">
            <v>11790.407869999999</v>
          </cell>
        </row>
        <row r="502">
          <cell r="A502" t="str">
            <v>TH-37</v>
          </cell>
          <cell r="C502" t="str">
            <v>Amnat Chareon</v>
          </cell>
          <cell r="D502">
            <v>2019</v>
          </cell>
          <cell r="E502">
            <v>6460.4952869999997</v>
          </cell>
        </row>
        <row r="503">
          <cell r="A503" t="str">
            <v>TH-74</v>
          </cell>
          <cell r="C503" t="str">
            <v>Samut Sakhon</v>
          </cell>
          <cell r="D503">
            <v>2019</v>
          </cell>
          <cell r="E503">
            <v>28300.287799999998</v>
          </cell>
        </row>
        <row r="504">
          <cell r="A504" t="str">
            <v>TH-11</v>
          </cell>
          <cell r="C504" t="str">
            <v>Samut Prakan</v>
          </cell>
          <cell r="D504">
            <v>2019</v>
          </cell>
          <cell r="E504">
            <v>71363.53314</v>
          </cell>
        </row>
        <row r="505">
          <cell r="A505" t="str">
            <v>TH-55</v>
          </cell>
          <cell r="C505" t="str">
            <v>Nan</v>
          </cell>
          <cell r="D505">
            <v>2019</v>
          </cell>
          <cell r="E505">
            <v>8258.0600200000008</v>
          </cell>
        </row>
        <row r="506">
          <cell r="A506" t="str">
            <v>TH-22</v>
          </cell>
          <cell r="C506" t="str">
            <v>Chanthaburi</v>
          </cell>
          <cell r="D506">
            <v>2019</v>
          </cell>
          <cell r="E506">
            <v>16644.215120000001</v>
          </cell>
        </row>
        <row r="507">
          <cell r="A507" t="str">
            <v>TH-48</v>
          </cell>
          <cell r="C507" t="str">
            <v>Nakhon Phanom</v>
          </cell>
          <cell r="D507">
            <v>2019</v>
          </cell>
          <cell r="E507">
            <v>11705.41979</v>
          </cell>
        </row>
        <row r="508">
          <cell r="A508" t="str">
            <v>TH-71</v>
          </cell>
          <cell r="C508" t="str">
            <v>Kanchanaburi</v>
          </cell>
          <cell r="D508">
            <v>2019</v>
          </cell>
          <cell r="E508">
            <v>30020.82951</v>
          </cell>
        </row>
        <row r="509">
          <cell r="A509" t="str">
            <v>TH-58</v>
          </cell>
          <cell r="C509" t="str">
            <v>Mae Hong Son</v>
          </cell>
          <cell r="D509">
            <v>2019</v>
          </cell>
          <cell r="E509">
            <v>2825.2194589999999</v>
          </cell>
        </row>
        <row r="510">
          <cell r="A510" t="str">
            <v>TH-27</v>
          </cell>
          <cell r="C510" t="str">
            <v>Sa Kaew</v>
          </cell>
          <cell r="D510">
            <v>2019</v>
          </cell>
          <cell r="E510">
            <v>14022.405940000001</v>
          </cell>
        </row>
        <row r="511">
          <cell r="A511" t="str">
            <v>TH-91</v>
          </cell>
          <cell r="C511" t="str">
            <v>Satun</v>
          </cell>
          <cell r="D511">
            <v>2019</v>
          </cell>
          <cell r="E511">
            <v>9809.2410849999997</v>
          </cell>
        </row>
        <row r="512">
          <cell r="A512" t="str">
            <v>TH-73</v>
          </cell>
          <cell r="C512" t="str">
            <v>Nakhon Pathom</v>
          </cell>
          <cell r="D512">
            <v>2019</v>
          </cell>
          <cell r="E512">
            <v>45530.963519999998</v>
          </cell>
        </row>
        <row r="513">
          <cell r="A513" t="str">
            <v>TH-51</v>
          </cell>
          <cell r="C513" t="str">
            <v>Lamphun</v>
          </cell>
          <cell r="D513">
            <v>2019</v>
          </cell>
          <cell r="E513">
            <v>12776.71019</v>
          </cell>
        </row>
        <row r="514">
          <cell r="A514" t="str">
            <v>TH-23</v>
          </cell>
          <cell r="C514" t="str">
            <v>Trat</v>
          </cell>
          <cell r="D514">
            <v>2019</v>
          </cell>
          <cell r="E514">
            <v>5230.4929229999998</v>
          </cell>
        </row>
        <row r="515">
          <cell r="A515" t="str">
            <v>TH-70</v>
          </cell>
          <cell r="C515" t="str">
            <v>Ratchaburi</v>
          </cell>
          <cell r="D515">
            <v>2019</v>
          </cell>
          <cell r="E515">
            <v>34859.208209999997</v>
          </cell>
        </row>
        <row r="516">
          <cell r="A516" t="str">
            <v>TH-35</v>
          </cell>
          <cell r="C516" t="str">
            <v>Yasothon</v>
          </cell>
          <cell r="D516">
            <v>2019</v>
          </cell>
          <cell r="E516">
            <v>8107.0151880000003</v>
          </cell>
        </row>
        <row r="517">
          <cell r="A517" t="str">
            <v>TH-54</v>
          </cell>
          <cell r="C517" t="str">
            <v>Phrae</v>
          </cell>
          <cell r="D517">
            <v>2019</v>
          </cell>
          <cell r="E517">
            <v>12524.35151</v>
          </cell>
        </row>
        <row r="518">
          <cell r="A518" t="str">
            <v>TH-95</v>
          </cell>
          <cell r="C518" t="str">
            <v>Yala</v>
          </cell>
          <cell r="D518">
            <v>2019</v>
          </cell>
          <cell r="E518">
            <v>11208.3591</v>
          </cell>
        </row>
        <row r="519">
          <cell r="A519" t="str">
            <v>TH-53</v>
          </cell>
          <cell r="C519" t="str">
            <v>Uttaradit</v>
          </cell>
          <cell r="D519">
            <v>2019</v>
          </cell>
          <cell r="E519">
            <v>11942.41296</v>
          </cell>
        </row>
        <row r="520">
          <cell r="A520" t="str">
            <v>TH-31</v>
          </cell>
          <cell r="C520" t="str">
            <v>Buri Ram</v>
          </cell>
          <cell r="D520">
            <v>2019</v>
          </cell>
          <cell r="E520">
            <v>21548.370780000001</v>
          </cell>
        </row>
        <row r="521">
          <cell r="A521" t="str">
            <v>TH-62</v>
          </cell>
          <cell r="C521" t="str">
            <v>Kam Phaeng Phet</v>
          </cell>
          <cell r="D521">
            <v>2019</v>
          </cell>
          <cell r="E521">
            <v>18996.946739999999</v>
          </cell>
        </row>
        <row r="522">
          <cell r="A522" t="str">
            <v>TH-52</v>
          </cell>
          <cell r="C522" t="str">
            <v>Lampang</v>
          </cell>
          <cell r="D522">
            <v>2019</v>
          </cell>
          <cell r="E522">
            <v>22767.444159999999</v>
          </cell>
        </row>
        <row r="523">
          <cell r="A523" t="str">
            <v>TH-12</v>
          </cell>
          <cell r="C523" t="str">
            <v>Nonthaburi</v>
          </cell>
          <cell r="D523">
            <v>2019</v>
          </cell>
          <cell r="E523">
            <v>39776.842989999997</v>
          </cell>
        </row>
        <row r="524">
          <cell r="A524" t="str">
            <v>TH-38</v>
          </cell>
          <cell r="C524" t="str">
            <v>Bueng Kan</v>
          </cell>
          <cell r="D524">
            <v>2019</v>
          </cell>
          <cell r="E524">
            <v>6631.1205950000003</v>
          </cell>
        </row>
        <row r="525">
          <cell r="A525" t="str">
            <v>TH-96</v>
          </cell>
          <cell r="C525" t="str">
            <v>Narathiwat</v>
          </cell>
          <cell r="D525">
            <v>2019</v>
          </cell>
          <cell r="E525">
            <v>13130.50901</v>
          </cell>
        </row>
        <row r="526">
          <cell r="A526" t="str">
            <v>TH-34</v>
          </cell>
          <cell r="C526" t="str">
            <v>Ubon Ratchathani</v>
          </cell>
          <cell r="D526">
            <v>2019</v>
          </cell>
          <cell r="E526">
            <v>26566.94241</v>
          </cell>
        </row>
        <row r="527">
          <cell r="A527" t="str">
            <v>TH-77</v>
          </cell>
          <cell r="C527" t="str">
            <v>Phachuap Khiri Khan</v>
          </cell>
          <cell r="D527">
            <v>2019</v>
          </cell>
          <cell r="E527">
            <v>22676.886020000002</v>
          </cell>
        </row>
        <row r="528">
          <cell r="A528" t="str">
            <v>TH-90</v>
          </cell>
          <cell r="C528" t="str">
            <v>Songkhla</v>
          </cell>
          <cell r="D528">
            <v>2019</v>
          </cell>
          <cell r="E528">
            <v>43810.373149999999</v>
          </cell>
        </row>
        <row r="529">
          <cell r="A529" t="str">
            <v>TH-83</v>
          </cell>
          <cell r="C529" t="str">
            <v>Phuket</v>
          </cell>
          <cell r="D529">
            <v>2019</v>
          </cell>
          <cell r="E529">
            <v>21399.414830000002</v>
          </cell>
        </row>
        <row r="530">
          <cell r="A530" t="str">
            <v>TH-15</v>
          </cell>
          <cell r="C530" t="str">
            <v>Ang Thong</v>
          </cell>
          <cell r="D530">
            <v>2019</v>
          </cell>
          <cell r="E530">
            <v>11012.78206</v>
          </cell>
        </row>
        <row r="531">
          <cell r="A531" t="str">
            <v>TH-44</v>
          </cell>
          <cell r="C531" t="str">
            <v>Maha Sarakham</v>
          </cell>
          <cell r="D531">
            <v>2019</v>
          </cell>
          <cell r="E531">
            <v>19436.067289999999</v>
          </cell>
        </row>
        <row r="532">
          <cell r="A532" t="str">
            <v>TH-92</v>
          </cell>
          <cell r="C532" t="str">
            <v>Trang</v>
          </cell>
          <cell r="D532">
            <v>2019</v>
          </cell>
          <cell r="E532">
            <v>15650.389499999999</v>
          </cell>
        </row>
        <row r="533">
          <cell r="A533" t="str">
            <v>TH-72</v>
          </cell>
          <cell r="C533" t="str">
            <v>Suphan Buri</v>
          </cell>
          <cell r="D533">
            <v>2019</v>
          </cell>
          <cell r="E533">
            <v>30248.169559999998</v>
          </cell>
        </row>
        <row r="534">
          <cell r="A534" t="str">
            <v>TH-17</v>
          </cell>
          <cell r="C534" t="str">
            <v>Singburi</v>
          </cell>
          <cell r="D534">
            <v>2019</v>
          </cell>
          <cell r="E534">
            <v>9002.7411489999995</v>
          </cell>
        </row>
        <row r="535">
          <cell r="A535" t="str">
            <v>TH-75</v>
          </cell>
          <cell r="C535" t="str">
            <v>Samut Songkhram</v>
          </cell>
          <cell r="D535">
            <v>2019</v>
          </cell>
          <cell r="E535">
            <v>8330.3309530000006</v>
          </cell>
        </row>
        <row r="536">
          <cell r="A536" t="str">
            <v>TH-21</v>
          </cell>
          <cell r="C536" t="str">
            <v>Rayong</v>
          </cell>
          <cell r="D536">
            <v>2019</v>
          </cell>
          <cell r="E536">
            <v>92450.905360000004</v>
          </cell>
        </row>
        <row r="537">
          <cell r="A537" t="str">
            <v>TH-25</v>
          </cell>
          <cell r="C537" t="str">
            <v>Prachin Buri</v>
          </cell>
          <cell r="D537">
            <v>2019</v>
          </cell>
          <cell r="E537">
            <v>26880.724819999999</v>
          </cell>
        </row>
        <row r="538">
          <cell r="A538" t="str">
            <v>TH-45</v>
          </cell>
          <cell r="C538" t="str">
            <v>Roi Et</v>
          </cell>
          <cell r="D538">
            <v>2019</v>
          </cell>
          <cell r="E538">
            <v>18751.440930000001</v>
          </cell>
        </row>
        <row r="539">
          <cell r="A539" t="str">
            <v>TH-56</v>
          </cell>
          <cell r="C539" t="str">
            <v>Phayao</v>
          </cell>
          <cell r="D539">
            <v>2019</v>
          </cell>
          <cell r="E539">
            <v>9270.1343519999991</v>
          </cell>
        </row>
        <row r="540">
          <cell r="A540" t="str">
            <v>TH-60</v>
          </cell>
          <cell r="C540" t="str">
            <v>Nakhon Sawan</v>
          </cell>
          <cell r="D540">
            <v>2019</v>
          </cell>
          <cell r="E540">
            <v>27156.855629999998</v>
          </cell>
        </row>
        <row r="541">
          <cell r="A541" t="str">
            <v>TH-39</v>
          </cell>
          <cell r="C541" t="str">
            <v>Nongbua Lamphu</v>
          </cell>
          <cell r="D541">
            <v>2020</v>
          </cell>
          <cell r="E541">
            <v>9409.6863620000004</v>
          </cell>
        </row>
        <row r="542">
          <cell r="A542" t="str">
            <v>TH-24</v>
          </cell>
          <cell r="C542" t="str">
            <v>Chachoengsao</v>
          </cell>
          <cell r="D542">
            <v>2020</v>
          </cell>
          <cell r="E542">
            <v>40027.800539999997</v>
          </cell>
        </row>
        <row r="543">
          <cell r="A543" t="str">
            <v>TH-32</v>
          </cell>
          <cell r="C543" t="str">
            <v>Surin</v>
          </cell>
          <cell r="D543">
            <v>2020</v>
          </cell>
          <cell r="E543">
            <v>18559.42901</v>
          </cell>
        </row>
        <row r="544">
          <cell r="A544" t="str">
            <v>TH-30</v>
          </cell>
          <cell r="C544" t="str">
            <v>Nakhon Ratchasima</v>
          </cell>
          <cell r="D544">
            <v>2020</v>
          </cell>
          <cell r="E544">
            <v>74024.854330000002</v>
          </cell>
        </row>
        <row r="545">
          <cell r="A545" t="str">
            <v>TH-64</v>
          </cell>
          <cell r="C545" t="str">
            <v>Sukhothai</v>
          </cell>
          <cell r="D545">
            <v>2020</v>
          </cell>
          <cell r="E545">
            <v>14182.523649999999</v>
          </cell>
        </row>
        <row r="546">
          <cell r="A546" t="str">
            <v>TH-76</v>
          </cell>
          <cell r="C546" t="str">
            <v>Phetchaburi</v>
          </cell>
          <cell r="D546">
            <v>2020</v>
          </cell>
          <cell r="E546">
            <v>32368.100989999999</v>
          </cell>
        </row>
        <row r="547">
          <cell r="A547" t="str">
            <v>TH-36</v>
          </cell>
          <cell r="C547" t="str">
            <v>Chaiyaphum</v>
          </cell>
          <cell r="D547">
            <v>2020</v>
          </cell>
          <cell r="E547">
            <v>21994.16588</v>
          </cell>
        </row>
        <row r="548">
          <cell r="A548" t="str">
            <v>TH-67</v>
          </cell>
          <cell r="C548" t="str">
            <v>Phetchabun</v>
          </cell>
          <cell r="D548">
            <v>2020</v>
          </cell>
          <cell r="E548">
            <v>21587.386859999999</v>
          </cell>
        </row>
        <row r="549">
          <cell r="A549" t="str">
            <v>TH-84</v>
          </cell>
          <cell r="C549" t="str">
            <v>Surat Thani</v>
          </cell>
          <cell r="D549">
            <v>2020</v>
          </cell>
          <cell r="E549">
            <v>33040.396630000003</v>
          </cell>
        </row>
        <row r="550">
          <cell r="A550" t="str">
            <v>TH-33</v>
          </cell>
          <cell r="C550" t="str">
            <v>Si Sa Ket</v>
          </cell>
          <cell r="D550">
            <v>2020</v>
          </cell>
          <cell r="E550">
            <v>18870.270219999999</v>
          </cell>
        </row>
        <row r="551">
          <cell r="A551" t="str">
            <v>TH-43</v>
          </cell>
          <cell r="C551" t="str">
            <v>Nong Khai</v>
          </cell>
          <cell r="D551">
            <v>2020</v>
          </cell>
          <cell r="E551">
            <v>12900.49973</v>
          </cell>
        </row>
        <row r="552">
          <cell r="A552" t="str">
            <v>TH-10</v>
          </cell>
          <cell r="C552" t="str">
            <v>Bangkok</v>
          </cell>
          <cell r="D552">
            <v>2020</v>
          </cell>
          <cell r="E552">
            <v>170383.3315</v>
          </cell>
        </row>
        <row r="553">
          <cell r="A553" t="str">
            <v>TH-40</v>
          </cell>
          <cell r="C553" t="str">
            <v>Khon Kaen</v>
          </cell>
          <cell r="D553">
            <v>2020</v>
          </cell>
          <cell r="E553">
            <v>45319.805529999998</v>
          </cell>
        </row>
        <row r="554">
          <cell r="A554" t="str">
            <v>TH-42</v>
          </cell>
          <cell r="C554" t="str">
            <v>Loei</v>
          </cell>
          <cell r="D554">
            <v>2020</v>
          </cell>
          <cell r="E554">
            <v>12764.2207</v>
          </cell>
        </row>
        <row r="555">
          <cell r="A555" t="str">
            <v>TH-19</v>
          </cell>
          <cell r="C555" t="str">
            <v>Saraburi</v>
          </cell>
          <cell r="D555">
            <v>2020</v>
          </cell>
          <cell r="E555">
            <v>43869.95145</v>
          </cell>
        </row>
        <row r="556">
          <cell r="A556" t="str">
            <v>TH-61</v>
          </cell>
          <cell r="C556" t="str">
            <v>Uthai Thani</v>
          </cell>
          <cell r="D556">
            <v>2020</v>
          </cell>
          <cell r="E556">
            <v>9122.6411009999993</v>
          </cell>
        </row>
        <row r="557">
          <cell r="A557" t="str">
            <v>TH-86</v>
          </cell>
          <cell r="C557" t="str">
            <v>Chumphon</v>
          </cell>
          <cell r="D557">
            <v>2020</v>
          </cell>
          <cell r="E557">
            <v>14482.336719999999</v>
          </cell>
        </row>
        <row r="558">
          <cell r="A558" t="str">
            <v>TH-46</v>
          </cell>
          <cell r="C558" t="str">
            <v>Kalasin</v>
          </cell>
          <cell r="D558">
            <v>2020</v>
          </cell>
          <cell r="E558">
            <v>20551.163939999999</v>
          </cell>
        </row>
        <row r="559">
          <cell r="A559" t="str">
            <v>TH-65</v>
          </cell>
          <cell r="C559" t="str">
            <v>Phitsanulok</v>
          </cell>
          <cell r="D559">
            <v>2020</v>
          </cell>
          <cell r="E559">
            <v>26905.200809999998</v>
          </cell>
        </row>
        <row r="560">
          <cell r="A560" t="str">
            <v>TH-85</v>
          </cell>
          <cell r="C560" t="str">
            <v>Ranong</v>
          </cell>
          <cell r="D560">
            <v>2020</v>
          </cell>
          <cell r="E560">
            <v>6194.4542069999998</v>
          </cell>
        </row>
        <row r="561">
          <cell r="A561" t="str">
            <v>TH-41</v>
          </cell>
          <cell r="C561" t="str">
            <v>Udon Thani</v>
          </cell>
          <cell r="D561">
            <v>2020</v>
          </cell>
          <cell r="E561">
            <v>29588.609639999999</v>
          </cell>
        </row>
        <row r="562">
          <cell r="A562" t="str">
            <v>TH-47</v>
          </cell>
          <cell r="C562" t="str">
            <v>Sakon Nakhon</v>
          </cell>
          <cell r="D562">
            <v>2020</v>
          </cell>
          <cell r="E562">
            <v>19978.183089999999</v>
          </cell>
        </row>
        <row r="563">
          <cell r="A563" t="str">
            <v>TH-57</v>
          </cell>
          <cell r="C563" t="str">
            <v>Chiang Rai</v>
          </cell>
          <cell r="D563">
            <v>2020</v>
          </cell>
          <cell r="E563">
            <v>31554.275750000001</v>
          </cell>
        </row>
        <row r="564">
          <cell r="A564" t="str">
            <v>TH-63</v>
          </cell>
          <cell r="C564" t="str">
            <v>Tak</v>
          </cell>
          <cell r="D564">
            <v>2020</v>
          </cell>
          <cell r="E564">
            <v>17130.454020000001</v>
          </cell>
        </row>
        <row r="565">
          <cell r="A565" t="str">
            <v>TH-14</v>
          </cell>
          <cell r="C565" t="str">
            <v>Phra Nakhon Sri Ayuthaya</v>
          </cell>
          <cell r="D565">
            <v>2020</v>
          </cell>
          <cell r="E565">
            <v>50004.882180000001</v>
          </cell>
        </row>
        <row r="566">
          <cell r="A566" t="str">
            <v>TH-66</v>
          </cell>
          <cell r="C566" t="str">
            <v>Phichit</v>
          </cell>
          <cell r="D566">
            <v>2020</v>
          </cell>
          <cell r="E566">
            <v>13217.363590000001</v>
          </cell>
        </row>
        <row r="567">
          <cell r="A567" t="str">
            <v>TH-93</v>
          </cell>
          <cell r="C567" t="str">
            <v>Phatthalung</v>
          </cell>
          <cell r="D567">
            <v>2020</v>
          </cell>
          <cell r="E567">
            <v>12054.78427</v>
          </cell>
        </row>
        <row r="568">
          <cell r="A568" t="str">
            <v>TH-82</v>
          </cell>
          <cell r="C568" t="str">
            <v>Phangnga</v>
          </cell>
          <cell r="D568">
            <v>2020</v>
          </cell>
          <cell r="E568">
            <v>10800.333409999999</v>
          </cell>
        </row>
        <row r="569">
          <cell r="A569" t="str">
            <v>TH-94</v>
          </cell>
          <cell r="C569" t="str">
            <v>Pattani</v>
          </cell>
          <cell r="D569">
            <v>2020</v>
          </cell>
          <cell r="E569">
            <v>15194.587020000001</v>
          </cell>
        </row>
        <row r="570">
          <cell r="A570" t="str">
            <v>TH-13</v>
          </cell>
          <cell r="C570" t="str">
            <v>Pathum Thani</v>
          </cell>
          <cell r="D570">
            <v>2020</v>
          </cell>
          <cell r="E570">
            <v>60924.005669999999</v>
          </cell>
        </row>
        <row r="571">
          <cell r="A571" t="str">
            <v>TH-80</v>
          </cell>
          <cell r="C571" t="str">
            <v>Nakhon Si Thammarat</v>
          </cell>
          <cell r="D571">
            <v>2020</v>
          </cell>
          <cell r="E571">
            <v>28936.601650000001</v>
          </cell>
        </row>
        <row r="572">
          <cell r="A572" t="str">
            <v>TH-26</v>
          </cell>
          <cell r="C572" t="str">
            <v>Nakhon Nayok</v>
          </cell>
          <cell r="D572">
            <v>2020</v>
          </cell>
          <cell r="E572">
            <v>11958.23395</v>
          </cell>
        </row>
        <row r="573">
          <cell r="A573" t="str">
            <v>TH-49</v>
          </cell>
          <cell r="C573" t="str">
            <v>Mukdahan</v>
          </cell>
          <cell r="D573">
            <v>2020</v>
          </cell>
          <cell r="E573">
            <v>8281.1060350000007</v>
          </cell>
        </row>
        <row r="574">
          <cell r="A574" t="str">
            <v>TH-16</v>
          </cell>
          <cell r="C574" t="str">
            <v>Lop Buri</v>
          </cell>
          <cell r="D574">
            <v>2020</v>
          </cell>
          <cell r="E574">
            <v>20518.520939999999</v>
          </cell>
        </row>
        <row r="575">
          <cell r="A575" t="str">
            <v>TH-81</v>
          </cell>
          <cell r="C575" t="str">
            <v>Krabi</v>
          </cell>
          <cell r="D575">
            <v>2020</v>
          </cell>
          <cell r="E575">
            <v>14662.52175</v>
          </cell>
        </row>
        <row r="576">
          <cell r="A576" t="str">
            <v>TH-20</v>
          </cell>
          <cell r="C576" t="str">
            <v>Chon Buri</v>
          </cell>
          <cell r="D576">
            <v>2020</v>
          </cell>
          <cell r="E576">
            <v>125814.02370000001</v>
          </cell>
        </row>
        <row r="577">
          <cell r="A577" t="str">
            <v>TH-50</v>
          </cell>
          <cell r="C577" t="str">
            <v>Chiang Mai</v>
          </cell>
          <cell r="D577">
            <v>2020</v>
          </cell>
          <cell r="E577">
            <v>51309.208030000002</v>
          </cell>
        </row>
        <row r="578">
          <cell r="A578" t="str">
            <v>TH-18</v>
          </cell>
          <cell r="C578" t="str">
            <v>Chai Nat</v>
          </cell>
          <cell r="D578">
            <v>2020</v>
          </cell>
          <cell r="E578">
            <v>12430.2284</v>
          </cell>
        </row>
        <row r="579">
          <cell r="A579" t="str">
            <v>TH-37</v>
          </cell>
          <cell r="C579" t="str">
            <v>Amnat Chareon</v>
          </cell>
          <cell r="D579">
            <v>2020</v>
          </cell>
          <cell r="E579">
            <v>7846.7885770000003</v>
          </cell>
        </row>
        <row r="580">
          <cell r="A580" t="str">
            <v>TH-74</v>
          </cell>
          <cell r="C580" t="str">
            <v>Samut Sakhon</v>
          </cell>
          <cell r="D580">
            <v>2020</v>
          </cell>
          <cell r="E580">
            <v>29335.874530000001</v>
          </cell>
        </row>
        <row r="581">
          <cell r="A581" t="str">
            <v>TH-11</v>
          </cell>
          <cell r="C581" t="str">
            <v>Samut Prakan</v>
          </cell>
          <cell r="D581">
            <v>2020</v>
          </cell>
          <cell r="E581">
            <v>74393.111640000003</v>
          </cell>
        </row>
        <row r="582">
          <cell r="A582" t="str">
            <v>TH-55</v>
          </cell>
          <cell r="C582" t="str">
            <v>Nan</v>
          </cell>
          <cell r="D582">
            <v>2020</v>
          </cell>
          <cell r="E582">
            <v>9895.3419880000001</v>
          </cell>
        </row>
        <row r="583">
          <cell r="A583" t="str">
            <v>TH-22</v>
          </cell>
          <cell r="C583" t="str">
            <v>Chanthaburi</v>
          </cell>
          <cell r="D583">
            <v>2020</v>
          </cell>
          <cell r="E583">
            <v>17607.045969999999</v>
          </cell>
        </row>
        <row r="584">
          <cell r="A584" t="str">
            <v>TH-48</v>
          </cell>
          <cell r="C584" t="str">
            <v>Nakhon Phanom</v>
          </cell>
          <cell r="D584">
            <v>2020</v>
          </cell>
          <cell r="E584">
            <v>14735.61692</v>
          </cell>
        </row>
        <row r="585">
          <cell r="A585" t="str">
            <v>TH-71</v>
          </cell>
          <cell r="C585" t="str">
            <v>Kanchanaburi</v>
          </cell>
          <cell r="D585">
            <v>2020</v>
          </cell>
          <cell r="E585">
            <v>31231.54132</v>
          </cell>
        </row>
        <row r="586">
          <cell r="A586" t="str">
            <v>TH-58</v>
          </cell>
          <cell r="C586" t="str">
            <v>Mae Hong Son</v>
          </cell>
          <cell r="D586">
            <v>2020</v>
          </cell>
          <cell r="E586">
            <v>3170.1793200000002</v>
          </cell>
        </row>
        <row r="587">
          <cell r="A587" t="str">
            <v>TH-27</v>
          </cell>
          <cell r="C587" t="str">
            <v>Sa Kaew</v>
          </cell>
          <cell r="D587">
            <v>2020</v>
          </cell>
          <cell r="E587">
            <v>14275.098669999999</v>
          </cell>
        </row>
        <row r="588">
          <cell r="A588" t="str">
            <v>TH-91</v>
          </cell>
          <cell r="C588" t="str">
            <v>Satun</v>
          </cell>
          <cell r="D588">
            <v>2020</v>
          </cell>
          <cell r="E588">
            <v>10764.454100000001</v>
          </cell>
        </row>
        <row r="589">
          <cell r="A589" t="str">
            <v>TH-73</v>
          </cell>
          <cell r="C589" t="str">
            <v>Nakhon Pathom</v>
          </cell>
          <cell r="D589">
            <v>2020</v>
          </cell>
          <cell r="E589">
            <v>45799.528100000003</v>
          </cell>
        </row>
        <row r="590">
          <cell r="A590" t="str">
            <v>TH-51</v>
          </cell>
          <cell r="C590" t="str">
            <v>Lamphun</v>
          </cell>
          <cell r="D590">
            <v>2020</v>
          </cell>
          <cell r="E590">
            <v>13668.843409999999</v>
          </cell>
        </row>
        <row r="591">
          <cell r="A591" t="str">
            <v>TH-23</v>
          </cell>
          <cell r="C591" t="str">
            <v>Trat</v>
          </cell>
          <cell r="D591">
            <v>2020</v>
          </cell>
          <cell r="E591">
            <v>5728.156414</v>
          </cell>
        </row>
        <row r="592">
          <cell r="A592" t="str">
            <v>TH-70</v>
          </cell>
          <cell r="C592" t="str">
            <v>Ratchaburi</v>
          </cell>
          <cell r="D592">
            <v>2020</v>
          </cell>
          <cell r="E592">
            <v>36927.840510000002</v>
          </cell>
        </row>
        <row r="593">
          <cell r="A593" t="str">
            <v>TH-35</v>
          </cell>
          <cell r="C593" t="str">
            <v>Yasothon</v>
          </cell>
          <cell r="D593">
            <v>2020</v>
          </cell>
          <cell r="E593">
            <v>9429.2168600000005</v>
          </cell>
        </row>
        <row r="594">
          <cell r="A594" t="str">
            <v>TH-54</v>
          </cell>
          <cell r="C594" t="str">
            <v>Phrae</v>
          </cell>
          <cell r="D594">
            <v>2020</v>
          </cell>
          <cell r="E594">
            <v>13746.837159999999</v>
          </cell>
        </row>
        <row r="595">
          <cell r="A595" t="str">
            <v>TH-95</v>
          </cell>
          <cell r="C595" t="str">
            <v>Yala</v>
          </cell>
          <cell r="D595">
            <v>2020</v>
          </cell>
          <cell r="E595">
            <v>12463.83404</v>
          </cell>
        </row>
        <row r="596">
          <cell r="A596" t="str">
            <v>TH-53</v>
          </cell>
          <cell r="C596" t="str">
            <v>Uttaradit</v>
          </cell>
          <cell r="D596">
            <v>2020</v>
          </cell>
          <cell r="E596">
            <v>13117.589239999999</v>
          </cell>
        </row>
        <row r="597">
          <cell r="A597" t="str">
            <v>TH-31</v>
          </cell>
          <cell r="C597" t="str">
            <v>Buri Ram</v>
          </cell>
          <cell r="D597">
            <v>2020</v>
          </cell>
          <cell r="E597">
            <v>24861.08222</v>
          </cell>
        </row>
        <row r="598">
          <cell r="A598" t="str">
            <v>TH-62</v>
          </cell>
          <cell r="C598" t="str">
            <v>Kam Phaeng Phet</v>
          </cell>
          <cell r="D598">
            <v>2020</v>
          </cell>
          <cell r="E598">
            <v>20517.878059999999</v>
          </cell>
        </row>
        <row r="599">
          <cell r="A599" t="str">
            <v>TH-52</v>
          </cell>
          <cell r="C599" t="str">
            <v>Lampang</v>
          </cell>
          <cell r="D599">
            <v>2020</v>
          </cell>
          <cell r="E599">
            <v>24737.614949999999</v>
          </cell>
        </row>
        <row r="600">
          <cell r="A600" t="str">
            <v>TH-12</v>
          </cell>
          <cell r="C600" t="str">
            <v>Nonthaburi</v>
          </cell>
          <cell r="D600">
            <v>2020</v>
          </cell>
          <cell r="E600">
            <v>40549.50028</v>
          </cell>
        </row>
        <row r="601">
          <cell r="A601" t="str">
            <v>TH-38</v>
          </cell>
          <cell r="C601" t="str">
            <v>Bueng Kan</v>
          </cell>
          <cell r="D601">
            <v>2020</v>
          </cell>
          <cell r="E601">
            <v>7600.4834339999998</v>
          </cell>
        </row>
        <row r="602">
          <cell r="A602" t="str">
            <v>TH-96</v>
          </cell>
          <cell r="C602" t="str">
            <v>Narathiwat</v>
          </cell>
          <cell r="D602">
            <v>2020</v>
          </cell>
          <cell r="E602">
            <v>14538.373030000001</v>
          </cell>
        </row>
        <row r="603">
          <cell r="A603" t="str">
            <v>TH-34</v>
          </cell>
          <cell r="C603" t="str">
            <v>Ubon Ratchathani</v>
          </cell>
          <cell r="D603">
            <v>2020</v>
          </cell>
          <cell r="E603">
            <v>30497.428360000002</v>
          </cell>
        </row>
        <row r="604">
          <cell r="A604" t="str">
            <v>TH-77</v>
          </cell>
          <cell r="C604" t="str">
            <v>Phachuap Khiri Khan</v>
          </cell>
          <cell r="D604">
            <v>2020</v>
          </cell>
          <cell r="E604">
            <v>24388.939009999998</v>
          </cell>
        </row>
        <row r="605">
          <cell r="A605" t="str">
            <v>TH-90</v>
          </cell>
          <cell r="C605" t="str">
            <v>Songkhla</v>
          </cell>
          <cell r="D605">
            <v>2020</v>
          </cell>
          <cell r="E605">
            <v>46539.915359999999</v>
          </cell>
        </row>
        <row r="606">
          <cell r="A606" t="str">
            <v>TH-83</v>
          </cell>
          <cell r="C606" t="str">
            <v>Phuket</v>
          </cell>
          <cell r="D606">
            <v>2020</v>
          </cell>
          <cell r="E606">
            <v>21586.565600000002</v>
          </cell>
        </row>
        <row r="607">
          <cell r="A607" t="str">
            <v>TH-15</v>
          </cell>
          <cell r="C607" t="str">
            <v>Ang Thong</v>
          </cell>
          <cell r="D607">
            <v>2020</v>
          </cell>
          <cell r="E607">
            <v>11970.47633</v>
          </cell>
        </row>
        <row r="608">
          <cell r="A608" t="str">
            <v>TH-44</v>
          </cell>
          <cell r="C608" t="str">
            <v>Maha Sarakham</v>
          </cell>
          <cell r="D608">
            <v>2020</v>
          </cell>
          <cell r="E608">
            <v>20994.722580000001</v>
          </cell>
        </row>
        <row r="609">
          <cell r="A609" t="str">
            <v>TH-92</v>
          </cell>
          <cell r="C609" t="str">
            <v>Trang</v>
          </cell>
          <cell r="D609">
            <v>2020</v>
          </cell>
          <cell r="E609">
            <v>17401.621640000001</v>
          </cell>
        </row>
        <row r="610">
          <cell r="A610" t="str">
            <v>TH-72</v>
          </cell>
          <cell r="C610" t="str">
            <v>Suphan Buri</v>
          </cell>
          <cell r="D610">
            <v>2020</v>
          </cell>
          <cell r="E610">
            <v>31356.560389999999</v>
          </cell>
        </row>
        <row r="611">
          <cell r="A611" t="str">
            <v>TH-17</v>
          </cell>
          <cell r="C611" t="str">
            <v>Singburi</v>
          </cell>
          <cell r="D611">
            <v>2020</v>
          </cell>
          <cell r="E611">
            <v>9305.8010689999992</v>
          </cell>
        </row>
        <row r="612">
          <cell r="A612" t="str">
            <v>TH-75</v>
          </cell>
          <cell r="C612" t="str">
            <v>Samut Songkhram</v>
          </cell>
          <cell r="D612">
            <v>2020</v>
          </cell>
          <cell r="E612">
            <v>8503.1918459999997</v>
          </cell>
        </row>
        <row r="613">
          <cell r="A613" t="str">
            <v>TH-21</v>
          </cell>
          <cell r="C613" t="str">
            <v>Rayong</v>
          </cell>
          <cell r="D613">
            <v>2020</v>
          </cell>
          <cell r="E613">
            <v>96949.41979</v>
          </cell>
        </row>
        <row r="614">
          <cell r="A614" t="str">
            <v>TH-25</v>
          </cell>
          <cell r="C614" t="str">
            <v>Prachin Buri</v>
          </cell>
          <cell r="D614">
            <v>2020</v>
          </cell>
          <cell r="E614">
            <v>28415.486199999999</v>
          </cell>
        </row>
        <row r="615">
          <cell r="A615" t="str">
            <v>TH-45</v>
          </cell>
          <cell r="C615" t="str">
            <v>Roi Et</v>
          </cell>
          <cell r="D615">
            <v>2020</v>
          </cell>
          <cell r="E615">
            <v>22672.842519999998</v>
          </cell>
        </row>
        <row r="616">
          <cell r="A616" t="str">
            <v>TH-56</v>
          </cell>
          <cell r="C616" t="str">
            <v>Phayao</v>
          </cell>
          <cell r="D616">
            <v>2020</v>
          </cell>
          <cell r="E616">
            <v>10574.549279999999</v>
          </cell>
        </row>
        <row r="617">
          <cell r="A617" t="str">
            <v>TH-60</v>
          </cell>
          <cell r="C617" t="str">
            <v>Nakhon Sawan</v>
          </cell>
          <cell r="D617">
            <v>2020</v>
          </cell>
          <cell r="E617">
            <v>28616.006119999998</v>
          </cell>
        </row>
        <row r="618">
          <cell r="A618" t="str">
            <v>TH-39</v>
          </cell>
          <cell r="C618" t="str">
            <v>Nongbua Lamphu</v>
          </cell>
          <cell r="D618">
            <v>2021</v>
          </cell>
          <cell r="E618">
            <v>11141.851860000001</v>
          </cell>
        </row>
        <row r="619">
          <cell r="A619" t="str">
            <v>TH-24</v>
          </cell>
          <cell r="C619" t="str">
            <v>Chachoengsao</v>
          </cell>
          <cell r="D619">
            <v>2021</v>
          </cell>
          <cell r="E619">
            <v>46394.929750000003</v>
          </cell>
        </row>
        <row r="620">
          <cell r="A620" t="str">
            <v>TH-32</v>
          </cell>
          <cell r="C620" t="str">
            <v>Surin</v>
          </cell>
          <cell r="D620">
            <v>2021</v>
          </cell>
          <cell r="E620">
            <v>22285.360570000001</v>
          </cell>
        </row>
        <row r="621">
          <cell r="A621" t="str">
            <v>TH-30</v>
          </cell>
          <cell r="C621" t="str">
            <v>Nakhon Ratchasima</v>
          </cell>
          <cell r="D621">
            <v>2021</v>
          </cell>
          <cell r="E621">
            <v>84525.464420000004</v>
          </cell>
        </row>
        <row r="622">
          <cell r="A622" t="str">
            <v>TH-64</v>
          </cell>
          <cell r="C622" t="str">
            <v>Sukhothai</v>
          </cell>
          <cell r="D622">
            <v>2021</v>
          </cell>
          <cell r="E622">
            <v>17131.654429999999</v>
          </cell>
        </row>
        <row r="623">
          <cell r="A623" t="str">
            <v>TH-76</v>
          </cell>
          <cell r="C623" t="str">
            <v>Phetchaburi</v>
          </cell>
          <cell r="D623">
            <v>2021</v>
          </cell>
          <cell r="E623">
            <v>33813.502829999998</v>
          </cell>
        </row>
        <row r="624">
          <cell r="A624" t="str">
            <v>TH-36</v>
          </cell>
          <cell r="C624" t="str">
            <v>Chaiyaphum</v>
          </cell>
          <cell r="D624">
            <v>2021</v>
          </cell>
          <cell r="E624">
            <v>24218.64385</v>
          </cell>
        </row>
        <row r="625">
          <cell r="A625" t="str">
            <v>TH-67</v>
          </cell>
          <cell r="C625" t="str">
            <v>Phetchabun</v>
          </cell>
          <cell r="D625">
            <v>2021</v>
          </cell>
          <cell r="E625">
            <v>25845.158660000001</v>
          </cell>
        </row>
        <row r="626">
          <cell r="A626" t="str">
            <v>TH-84</v>
          </cell>
          <cell r="C626" t="str">
            <v>Surat Thani</v>
          </cell>
          <cell r="D626">
            <v>2021</v>
          </cell>
          <cell r="E626">
            <v>34399.03196</v>
          </cell>
        </row>
        <row r="627">
          <cell r="A627" t="str">
            <v>TH-33</v>
          </cell>
          <cell r="C627" t="str">
            <v>Si Sa Ket</v>
          </cell>
          <cell r="D627">
            <v>2021</v>
          </cell>
          <cell r="E627">
            <v>22985.570449999999</v>
          </cell>
        </row>
        <row r="628">
          <cell r="A628" t="str">
            <v>TH-43</v>
          </cell>
          <cell r="C628" t="str">
            <v>Nong Khai</v>
          </cell>
          <cell r="D628">
            <v>2021</v>
          </cell>
          <cell r="E628">
            <v>14962.539070000001</v>
          </cell>
        </row>
        <row r="629">
          <cell r="A629" t="str">
            <v>TH-10</v>
          </cell>
          <cell r="C629" t="str">
            <v>Bangkok</v>
          </cell>
          <cell r="D629">
            <v>2021</v>
          </cell>
          <cell r="E629">
            <v>178175.71969999999</v>
          </cell>
        </row>
        <row r="630">
          <cell r="A630" t="str">
            <v>TH-40</v>
          </cell>
          <cell r="C630" t="str">
            <v>Khon Kaen</v>
          </cell>
          <cell r="D630">
            <v>2021</v>
          </cell>
          <cell r="E630">
            <v>51323.814899999998</v>
          </cell>
        </row>
        <row r="631">
          <cell r="A631" t="str">
            <v>TH-42</v>
          </cell>
          <cell r="C631" t="str">
            <v>Loei</v>
          </cell>
          <cell r="D631">
            <v>2021</v>
          </cell>
          <cell r="E631">
            <v>15020.72401</v>
          </cell>
        </row>
        <row r="632">
          <cell r="A632" t="str">
            <v>TH-19</v>
          </cell>
          <cell r="C632" t="str">
            <v>Saraburi</v>
          </cell>
          <cell r="D632">
            <v>2021</v>
          </cell>
          <cell r="E632">
            <v>46723.65047</v>
          </cell>
        </row>
        <row r="633">
          <cell r="A633" t="str">
            <v>TH-61</v>
          </cell>
          <cell r="C633" t="str">
            <v>Uthai Thani</v>
          </cell>
          <cell r="D633">
            <v>2021</v>
          </cell>
          <cell r="E633">
            <v>12842.98006</v>
          </cell>
        </row>
        <row r="634">
          <cell r="A634" t="str">
            <v>TH-86</v>
          </cell>
          <cell r="C634" t="str">
            <v>Chumphon</v>
          </cell>
          <cell r="D634">
            <v>2021</v>
          </cell>
          <cell r="E634">
            <v>15968.94382</v>
          </cell>
        </row>
        <row r="635">
          <cell r="A635" t="str">
            <v>TH-46</v>
          </cell>
          <cell r="C635" t="str">
            <v>Kalasin</v>
          </cell>
          <cell r="D635">
            <v>2021</v>
          </cell>
          <cell r="E635">
            <v>23417.15914</v>
          </cell>
        </row>
        <row r="636">
          <cell r="A636" t="str">
            <v>TH-65</v>
          </cell>
          <cell r="C636" t="str">
            <v>Phitsanulok</v>
          </cell>
          <cell r="D636">
            <v>2021</v>
          </cell>
          <cell r="E636">
            <v>30712.373920000002</v>
          </cell>
        </row>
        <row r="637">
          <cell r="A637" t="str">
            <v>TH-85</v>
          </cell>
          <cell r="C637" t="str">
            <v>Ranong</v>
          </cell>
          <cell r="D637">
            <v>2021</v>
          </cell>
          <cell r="E637">
            <v>6887.0997820000002</v>
          </cell>
        </row>
        <row r="638">
          <cell r="A638" t="str">
            <v>TH-41</v>
          </cell>
          <cell r="C638" t="str">
            <v>Udon Thani</v>
          </cell>
          <cell r="D638">
            <v>2021</v>
          </cell>
          <cell r="E638">
            <v>33584.794600000001</v>
          </cell>
        </row>
        <row r="639">
          <cell r="A639" t="str">
            <v>TH-47</v>
          </cell>
          <cell r="C639" t="str">
            <v>Sakon Nakhon</v>
          </cell>
          <cell r="D639">
            <v>2021</v>
          </cell>
          <cell r="E639">
            <v>25669.962360000001</v>
          </cell>
        </row>
        <row r="640">
          <cell r="A640" t="str">
            <v>TH-57</v>
          </cell>
          <cell r="C640" t="str">
            <v>Chiang Rai</v>
          </cell>
          <cell r="D640">
            <v>2021</v>
          </cell>
          <cell r="E640">
            <v>33584.075790000003</v>
          </cell>
        </row>
        <row r="641">
          <cell r="A641" t="str">
            <v>TH-63</v>
          </cell>
          <cell r="C641" t="str">
            <v>Tak</v>
          </cell>
          <cell r="D641">
            <v>2021</v>
          </cell>
          <cell r="E641">
            <v>18745.029289999999</v>
          </cell>
        </row>
        <row r="642">
          <cell r="A642" t="str">
            <v>TH-14</v>
          </cell>
          <cell r="C642" t="str">
            <v>Phra Nakhon Sri Ayuthaya</v>
          </cell>
          <cell r="D642">
            <v>2021</v>
          </cell>
          <cell r="E642">
            <v>54368.122439999999</v>
          </cell>
        </row>
        <row r="643">
          <cell r="A643" t="str">
            <v>TH-66</v>
          </cell>
          <cell r="C643" t="str">
            <v>Phichit</v>
          </cell>
          <cell r="D643">
            <v>2021</v>
          </cell>
          <cell r="E643">
            <v>16365.74409</v>
          </cell>
        </row>
        <row r="644">
          <cell r="A644" t="str">
            <v>TH-93</v>
          </cell>
          <cell r="C644" t="str">
            <v>Phatthalung</v>
          </cell>
          <cell r="D644">
            <v>2021</v>
          </cell>
          <cell r="E644">
            <v>14162.600340000001</v>
          </cell>
        </row>
        <row r="645">
          <cell r="A645" t="str">
            <v>TH-82</v>
          </cell>
          <cell r="C645" t="str">
            <v>Phangnga</v>
          </cell>
          <cell r="D645">
            <v>2021</v>
          </cell>
          <cell r="E645">
            <v>12067.915150000001</v>
          </cell>
        </row>
        <row r="646">
          <cell r="A646" t="str">
            <v>TH-94</v>
          </cell>
          <cell r="C646" t="str">
            <v>Pattani</v>
          </cell>
          <cell r="D646">
            <v>2021</v>
          </cell>
          <cell r="E646">
            <v>16532.29146</v>
          </cell>
        </row>
        <row r="647">
          <cell r="A647" t="str">
            <v>TH-13</v>
          </cell>
          <cell r="C647" t="str">
            <v>Pathum Thani</v>
          </cell>
          <cell r="D647">
            <v>2021</v>
          </cell>
          <cell r="E647">
            <v>65183.590129999997</v>
          </cell>
        </row>
        <row r="648">
          <cell r="A648" t="str">
            <v>TH-80</v>
          </cell>
          <cell r="C648" t="str">
            <v>Nakhon Si Thammarat</v>
          </cell>
          <cell r="D648">
            <v>2021</v>
          </cell>
          <cell r="E648">
            <v>33354.75445</v>
          </cell>
        </row>
        <row r="649">
          <cell r="A649" t="str">
            <v>TH-26</v>
          </cell>
          <cell r="C649" t="str">
            <v>Nakhon Nayok</v>
          </cell>
          <cell r="D649">
            <v>2021</v>
          </cell>
          <cell r="E649">
            <v>13246.72249</v>
          </cell>
        </row>
        <row r="650">
          <cell r="A650" t="str">
            <v>TH-49</v>
          </cell>
          <cell r="C650" t="str">
            <v>Mukdahan</v>
          </cell>
          <cell r="D650">
            <v>2021</v>
          </cell>
          <cell r="E650">
            <v>9288.0884870000009</v>
          </cell>
        </row>
        <row r="651">
          <cell r="A651" t="str">
            <v>TH-16</v>
          </cell>
          <cell r="C651" t="str">
            <v>Lop Buri</v>
          </cell>
          <cell r="D651">
            <v>2021</v>
          </cell>
          <cell r="E651">
            <v>22962.055550000001</v>
          </cell>
        </row>
        <row r="652">
          <cell r="A652" t="str">
            <v>TH-81</v>
          </cell>
          <cell r="C652" t="str">
            <v>Krabi</v>
          </cell>
          <cell r="D652">
            <v>2021</v>
          </cell>
          <cell r="E652">
            <v>16023.19463</v>
          </cell>
        </row>
        <row r="653">
          <cell r="A653" t="str">
            <v>TH-20</v>
          </cell>
          <cell r="C653" t="str">
            <v>Chon Buri</v>
          </cell>
          <cell r="D653">
            <v>2021</v>
          </cell>
          <cell r="E653">
            <v>139789.06959999999</v>
          </cell>
        </row>
        <row r="654">
          <cell r="A654" t="str">
            <v>TH-50</v>
          </cell>
          <cell r="C654" t="str">
            <v>Chiang Mai</v>
          </cell>
          <cell r="D654">
            <v>2021</v>
          </cell>
          <cell r="E654">
            <v>52659.045879999998</v>
          </cell>
        </row>
        <row r="655">
          <cell r="A655" t="str">
            <v>TH-18</v>
          </cell>
          <cell r="C655" t="str">
            <v>Chai Nat</v>
          </cell>
          <cell r="D655">
            <v>2021</v>
          </cell>
          <cell r="E655">
            <v>15401.43086</v>
          </cell>
        </row>
        <row r="656">
          <cell r="A656" t="str">
            <v>TH-37</v>
          </cell>
          <cell r="C656" t="str">
            <v>Amnat Chareon</v>
          </cell>
          <cell r="D656">
            <v>2021</v>
          </cell>
          <cell r="E656">
            <v>8979.0121099999997</v>
          </cell>
        </row>
        <row r="657">
          <cell r="A657" t="str">
            <v>TH-74</v>
          </cell>
          <cell r="C657" t="str">
            <v>Samut Sakhon</v>
          </cell>
          <cell r="D657">
            <v>2021</v>
          </cell>
          <cell r="E657">
            <v>31745.36508</v>
          </cell>
        </row>
        <row r="658">
          <cell r="A658" t="str">
            <v>TH-11</v>
          </cell>
          <cell r="C658" t="str">
            <v>Samut Prakan</v>
          </cell>
          <cell r="D658">
            <v>2021</v>
          </cell>
          <cell r="E658">
            <v>78607.9614</v>
          </cell>
        </row>
        <row r="659">
          <cell r="A659" t="str">
            <v>TH-55</v>
          </cell>
          <cell r="C659" t="str">
            <v>Nan</v>
          </cell>
          <cell r="D659">
            <v>2021</v>
          </cell>
          <cell r="E659">
            <v>10503.07764</v>
          </cell>
        </row>
        <row r="660">
          <cell r="A660" t="str">
            <v>TH-22</v>
          </cell>
          <cell r="C660" t="str">
            <v>Chanthaburi</v>
          </cell>
          <cell r="D660">
            <v>2021</v>
          </cell>
          <cell r="E660">
            <v>18737.62168</v>
          </cell>
        </row>
        <row r="661">
          <cell r="A661" t="str">
            <v>TH-48</v>
          </cell>
          <cell r="C661" t="str">
            <v>Nakhon Phanom</v>
          </cell>
          <cell r="D661">
            <v>2021</v>
          </cell>
          <cell r="E661">
            <v>18902.991709999998</v>
          </cell>
        </row>
        <row r="662">
          <cell r="A662" t="str">
            <v>TH-71</v>
          </cell>
          <cell r="C662" t="str">
            <v>Kanchanaburi</v>
          </cell>
          <cell r="D662">
            <v>2021</v>
          </cell>
          <cell r="E662">
            <v>36019.05573</v>
          </cell>
        </row>
        <row r="663">
          <cell r="A663" t="str">
            <v>TH-58</v>
          </cell>
          <cell r="C663" t="str">
            <v>Mae Hong Son</v>
          </cell>
          <cell r="D663">
            <v>2021</v>
          </cell>
          <cell r="E663">
            <v>3229.9850390000001</v>
          </cell>
        </row>
        <row r="664">
          <cell r="A664" t="str">
            <v>TH-27</v>
          </cell>
          <cell r="C664" t="str">
            <v>Sa Kaew</v>
          </cell>
          <cell r="D664">
            <v>2021</v>
          </cell>
          <cell r="E664">
            <v>17136.692230000001</v>
          </cell>
        </row>
        <row r="665">
          <cell r="A665" t="str">
            <v>TH-91</v>
          </cell>
          <cell r="C665" t="str">
            <v>Satun</v>
          </cell>
          <cell r="D665">
            <v>2021</v>
          </cell>
          <cell r="E665">
            <v>12825.95285</v>
          </cell>
        </row>
        <row r="666">
          <cell r="A666" t="str">
            <v>TH-73</v>
          </cell>
          <cell r="C666" t="str">
            <v>Nakhon Pathom</v>
          </cell>
          <cell r="D666">
            <v>2021</v>
          </cell>
          <cell r="E666">
            <v>48714.870900000002</v>
          </cell>
        </row>
        <row r="667">
          <cell r="A667" t="str">
            <v>TH-51</v>
          </cell>
          <cell r="C667" t="str">
            <v>Lamphun</v>
          </cell>
          <cell r="D667">
            <v>2021</v>
          </cell>
          <cell r="E667">
            <v>14286.83921</v>
          </cell>
        </row>
        <row r="668">
          <cell r="A668" t="str">
            <v>TH-23</v>
          </cell>
          <cell r="C668" t="str">
            <v>Trat</v>
          </cell>
          <cell r="D668">
            <v>2021</v>
          </cell>
          <cell r="E668">
            <v>6110.4792029999999</v>
          </cell>
        </row>
        <row r="669">
          <cell r="A669" t="str">
            <v>TH-70</v>
          </cell>
          <cell r="C669" t="str">
            <v>Ratchaburi</v>
          </cell>
          <cell r="D669">
            <v>2021</v>
          </cell>
          <cell r="E669">
            <v>41469.715479999999</v>
          </cell>
        </row>
        <row r="670">
          <cell r="A670" t="str">
            <v>TH-35</v>
          </cell>
          <cell r="C670" t="str">
            <v>Yasothon</v>
          </cell>
          <cell r="D670">
            <v>2021</v>
          </cell>
          <cell r="E670">
            <v>12082.11537</v>
          </cell>
        </row>
        <row r="671">
          <cell r="A671" t="str">
            <v>TH-54</v>
          </cell>
          <cell r="C671" t="str">
            <v>Phrae</v>
          </cell>
          <cell r="D671">
            <v>2021</v>
          </cell>
          <cell r="E671">
            <v>14748.738009999999</v>
          </cell>
        </row>
        <row r="672">
          <cell r="A672" t="str">
            <v>TH-95</v>
          </cell>
          <cell r="C672" t="str">
            <v>Yala</v>
          </cell>
          <cell r="D672">
            <v>2021</v>
          </cell>
          <cell r="E672">
            <v>15514.316580000001</v>
          </cell>
        </row>
        <row r="673">
          <cell r="A673" t="str">
            <v>TH-53</v>
          </cell>
          <cell r="C673" t="str">
            <v>Uttaradit</v>
          </cell>
          <cell r="D673">
            <v>2021</v>
          </cell>
          <cell r="E673">
            <v>15820.19988</v>
          </cell>
        </row>
        <row r="674">
          <cell r="A674" t="str">
            <v>TH-31</v>
          </cell>
          <cell r="C674" t="str">
            <v>Buri Ram</v>
          </cell>
          <cell r="D674">
            <v>2021</v>
          </cell>
          <cell r="E674">
            <v>30050.66489</v>
          </cell>
        </row>
        <row r="675">
          <cell r="A675" t="str">
            <v>TH-62</v>
          </cell>
          <cell r="C675" t="str">
            <v>Kam Phaeng Phet</v>
          </cell>
          <cell r="D675">
            <v>2021</v>
          </cell>
          <cell r="E675">
            <v>25371.536489999999</v>
          </cell>
        </row>
        <row r="676">
          <cell r="A676" t="str">
            <v>TH-52</v>
          </cell>
          <cell r="C676" t="str">
            <v>Lampang</v>
          </cell>
          <cell r="D676">
            <v>2021</v>
          </cell>
          <cell r="E676">
            <v>27054.582579999998</v>
          </cell>
        </row>
        <row r="677">
          <cell r="A677" t="str">
            <v>TH-12</v>
          </cell>
          <cell r="C677" t="str">
            <v>Nonthaburi</v>
          </cell>
          <cell r="D677">
            <v>2021</v>
          </cell>
          <cell r="E677">
            <v>42519.894189999999</v>
          </cell>
        </row>
        <row r="678">
          <cell r="A678" t="str">
            <v>TH-38</v>
          </cell>
          <cell r="C678" t="str">
            <v>Bueng Kan</v>
          </cell>
          <cell r="D678">
            <v>2021</v>
          </cell>
          <cell r="E678">
            <v>8948.0386469999994</v>
          </cell>
        </row>
        <row r="679">
          <cell r="A679" t="str">
            <v>TH-96</v>
          </cell>
          <cell r="C679" t="str">
            <v>Narathiwat</v>
          </cell>
          <cell r="D679">
            <v>2021</v>
          </cell>
          <cell r="E679">
            <v>17100.184010000001</v>
          </cell>
        </row>
        <row r="680">
          <cell r="A680" t="str">
            <v>TH-34</v>
          </cell>
          <cell r="C680" t="str">
            <v>Ubon Ratchathani</v>
          </cell>
          <cell r="D680">
            <v>2021</v>
          </cell>
          <cell r="E680">
            <v>37698.769659999998</v>
          </cell>
        </row>
        <row r="681">
          <cell r="A681" t="str">
            <v>TH-77</v>
          </cell>
          <cell r="C681" t="str">
            <v>Phachuap Khiri Khan</v>
          </cell>
          <cell r="D681">
            <v>2021</v>
          </cell>
          <cell r="E681">
            <v>26246.665799999999</v>
          </cell>
        </row>
        <row r="682">
          <cell r="A682" t="str">
            <v>TH-90</v>
          </cell>
          <cell r="C682" t="str">
            <v>Songkhla</v>
          </cell>
          <cell r="D682">
            <v>2021</v>
          </cell>
          <cell r="E682">
            <v>48852.432460000004</v>
          </cell>
        </row>
        <row r="683">
          <cell r="A683" t="str">
            <v>TH-83</v>
          </cell>
          <cell r="C683" t="str">
            <v>Phuket</v>
          </cell>
          <cell r="D683">
            <v>2021</v>
          </cell>
          <cell r="E683">
            <v>21091.875499999998</v>
          </cell>
        </row>
        <row r="684">
          <cell r="A684" t="str">
            <v>TH-15</v>
          </cell>
          <cell r="C684" t="str">
            <v>Ang Thong</v>
          </cell>
          <cell r="D684">
            <v>2021</v>
          </cell>
          <cell r="E684">
            <v>13974.125190000001</v>
          </cell>
        </row>
        <row r="685">
          <cell r="A685" t="str">
            <v>TH-44</v>
          </cell>
          <cell r="C685" t="str">
            <v>Maha Sarakham</v>
          </cell>
          <cell r="D685">
            <v>2021</v>
          </cell>
          <cell r="E685">
            <v>23395.357349999998</v>
          </cell>
        </row>
        <row r="686">
          <cell r="A686" t="str">
            <v>TH-92</v>
          </cell>
          <cell r="C686" t="str">
            <v>Trang</v>
          </cell>
          <cell r="D686">
            <v>2021</v>
          </cell>
          <cell r="E686">
            <v>19764.711670000001</v>
          </cell>
        </row>
        <row r="687">
          <cell r="A687" t="str">
            <v>TH-72</v>
          </cell>
          <cell r="C687" t="str">
            <v>Suphan Buri</v>
          </cell>
          <cell r="D687">
            <v>2021</v>
          </cell>
          <cell r="E687">
            <v>37658.173320000002</v>
          </cell>
        </row>
        <row r="688">
          <cell r="A688" t="str">
            <v>TH-17</v>
          </cell>
          <cell r="C688" t="str">
            <v>Singburi</v>
          </cell>
          <cell r="D688">
            <v>2021</v>
          </cell>
          <cell r="E688">
            <v>10520.00821</v>
          </cell>
        </row>
        <row r="689">
          <cell r="A689" t="str">
            <v>TH-75</v>
          </cell>
          <cell r="C689" t="str">
            <v>Samut Songkhram</v>
          </cell>
          <cell r="D689">
            <v>2021</v>
          </cell>
          <cell r="E689">
            <v>9179.2940920000001</v>
          </cell>
        </row>
        <row r="690">
          <cell r="A690" t="str">
            <v>TH-21</v>
          </cell>
          <cell r="C690" t="str">
            <v>Rayong</v>
          </cell>
          <cell r="D690">
            <v>2021</v>
          </cell>
          <cell r="E690">
            <v>122498.3232</v>
          </cell>
        </row>
        <row r="691">
          <cell r="A691" t="str">
            <v>TH-25</v>
          </cell>
          <cell r="C691" t="str">
            <v>Prachin Buri</v>
          </cell>
          <cell r="D691">
            <v>2021</v>
          </cell>
          <cell r="E691">
            <v>31037.674859999999</v>
          </cell>
        </row>
        <row r="692">
          <cell r="A692" t="str">
            <v>TH-45</v>
          </cell>
          <cell r="C692" t="str">
            <v>Roi Et</v>
          </cell>
          <cell r="D692">
            <v>2021</v>
          </cell>
          <cell r="E692">
            <v>27716.373820000001</v>
          </cell>
        </row>
        <row r="693">
          <cell r="A693" t="str">
            <v>TH-56</v>
          </cell>
          <cell r="C693" t="str">
            <v>Phayao</v>
          </cell>
          <cell r="D693">
            <v>2021</v>
          </cell>
          <cell r="E693">
            <v>11765.61391</v>
          </cell>
        </row>
        <row r="694">
          <cell r="A694" t="str">
            <v>TH-60</v>
          </cell>
          <cell r="C694" t="str">
            <v>Nakhon Sawan</v>
          </cell>
          <cell r="D694">
            <v>2021</v>
          </cell>
          <cell r="E694">
            <v>33596.058060000003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irs77-Mean"/>
    </sheetNames>
    <sheetDataSet>
      <sheetData sheetId="0">
        <row r="2">
          <cell r="A2" t="str">
            <v>TH-39</v>
          </cell>
          <cell r="D2">
            <v>2013</v>
          </cell>
          <cell r="E2">
            <v>0.23346746500000001</v>
          </cell>
        </row>
        <row r="3">
          <cell r="A3" t="str">
            <v>TH-24</v>
          </cell>
          <cell r="D3">
            <v>2013</v>
          </cell>
          <cell r="E3">
            <v>0.93809289200000001</v>
          </cell>
        </row>
        <row r="4">
          <cell r="A4" t="str">
            <v>TH-32</v>
          </cell>
          <cell r="D4">
            <v>2013</v>
          </cell>
          <cell r="E4">
            <v>0.17647632599999999</v>
          </cell>
        </row>
        <row r="5">
          <cell r="A5" t="str">
            <v>TH-30</v>
          </cell>
          <cell r="D5">
            <v>2013</v>
          </cell>
          <cell r="E5">
            <v>0.40848709300000002</v>
          </cell>
        </row>
        <row r="6">
          <cell r="A6" t="str">
            <v>TH-64</v>
          </cell>
          <cell r="D6">
            <v>2013</v>
          </cell>
          <cell r="E6">
            <v>0.28929570999999998</v>
          </cell>
        </row>
        <row r="7">
          <cell r="A7" t="str">
            <v>TH-76</v>
          </cell>
          <cell r="D7">
            <v>2013</v>
          </cell>
          <cell r="E7">
            <v>0.66764193000000005</v>
          </cell>
        </row>
        <row r="8">
          <cell r="A8" t="str">
            <v>TH-36</v>
          </cell>
          <cell r="D8">
            <v>2013</v>
          </cell>
          <cell r="E8">
            <v>0.192126185</v>
          </cell>
        </row>
        <row r="9">
          <cell r="A9" t="str">
            <v>TH-67</v>
          </cell>
          <cell r="D9">
            <v>2013</v>
          </cell>
          <cell r="E9">
            <v>0.200983142</v>
          </cell>
        </row>
        <row r="10">
          <cell r="A10" t="str">
            <v>TH-84</v>
          </cell>
          <cell r="D10">
            <v>2013</v>
          </cell>
          <cell r="E10">
            <v>0.32175071500000002</v>
          </cell>
        </row>
        <row r="11">
          <cell r="A11" t="str">
            <v>TH-33</v>
          </cell>
          <cell r="D11">
            <v>2013</v>
          </cell>
          <cell r="E11">
            <v>0.176246397</v>
          </cell>
        </row>
        <row r="12">
          <cell r="A12" t="str">
            <v>TH-43</v>
          </cell>
          <cell r="D12">
            <v>2013</v>
          </cell>
          <cell r="E12">
            <v>0.35005260100000002</v>
          </cell>
        </row>
        <row r="13">
          <cell r="A13" t="str">
            <v>TH-10</v>
          </cell>
          <cell r="D13">
            <v>2013</v>
          </cell>
          <cell r="E13">
            <v>17.72747025</v>
          </cell>
        </row>
        <row r="14">
          <cell r="A14" t="str">
            <v>TH-40</v>
          </cell>
          <cell r="D14">
            <v>2013</v>
          </cell>
          <cell r="E14">
            <v>0.53187820200000002</v>
          </cell>
        </row>
        <row r="15">
          <cell r="A15" t="str">
            <v>TH-42</v>
          </cell>
          <cell r="D15">
            <v>2013</v>
          </cell>
          <cell r="E15">
            <v>0.13841778099999999</v>
          </cell>
        </row>
        <row r="16">
          <cell r="A16" t="str">
            <v>TH-19</v>
          </cell>
          <cell r="D16">
            <v>2013</v>
          </cell>
          <cell r="E16">
            <v>1.7940080650000001</v>
          </cell>
        </row>
        <row r="17">
          <cell r="A17" t="str">
            <v>TH-61</v>
          </cell>
          <cell r="D17">
            <v>2013</v>
          </cell>
          <cell r="E17">
            <v>0.16124319400000001</v>
          </cell>
        </row>
        <row r="18">
          <cell r="A18" t="str">
            <v>TH-86</v>
          </cell>
          <cell r="D18">
            <v>2013</v>
          </cell>
          <cell r="E18">
            <v>0.31972734000000003</v>
          </cell>
        </row>
        <row r="19">
          <cell r="A19" t="str">
            <v>TH-46</v>
          </cell>
          <cell r="D19">
            <v>2013</v>
          </cell>
          <cell r="E19">
            <v>0.321921976</v>
          </cell>
        </row>
        <row r="20">
          <cell r="A20" t="str">
            <v>TH-65</v>
          </cell>
          <cell r="D20">
            <v>2013</v>
          </cell>
          <cell r="E20">
            <v>0.29544468299999999</v>
          </cell>
        </row>
        <row r="21">
          <cell r="A21" t="str">
            <v>TH-85</v>
          </cell>
          <cell r="D21">
            <v>2013</v>
          </cell>
          <cell r="E21">
            <v>0.222641226</v>
          </cell>
        </row>
        <row r="22">
          <cell r="A22" t="str">
            <v>TH-41</v>
          </cell>
          <cell r="D22">
            <v>2013</v>
          </cell>
          <cell r="E22">
            <v>0.33944647100000003</v>
          </cell>
        </row>
        <row r="23">
          <cell r="A23" t="str">
            <v>TH-47</v>
          </cell>
          <cell r="D23">
            <v>2013</v>
          </cell>
          <cell r="E23">
            <v>0.20182085999999999</v>
          </cell>
        </row>
        <row r="24">
          <cell r="A24" t="str">
            <v>TH-57</v>
          </cell>
          <cell r="D24">
            <v>2013</v>
          </cell>
          <cell r="E24">
            <v>0.27065600000000001</v>
          </cell>
        </row>
        <row r="25">
          <cell r="A25" t="str">
            <v>TH-63</v>
          </cell>
          <cell r="D25">
            <v>2013</v>
          </cell>
          <cell r="E25">
            <v>9.4732041000000003E-2</v>
          </cell>
        </row>
        <row r="26">
          <cell r="A26" t="str">
            <v>TH-14</v>
          </cell>
          <cell r="D26">
            <v>2013</v>
          </cell>
          <cell r="E26">
            <v>3.1336143619999999</v>
          </cell>
        </row>
        <row r="27">
          <cell r="A27" t="str">
            <v>TH-66</v>
          </cell>
          <cell r="D27">
            <v>2013</v>
          </cell>
          <cell r="E27">
            <v>0.31536004099999998</v>
          </cell>
        </row>
        <row r="28">
          <cell r="A28" t="str">
            <v>TH-93</v>
          </cell>
          <cell r="D28">
            <v>2013</v>
          </cell>
          <cell r="E28">
            <v>0.314177076</v>
          </cell>
        </row>
        <row r="29">
          <cell r="A29" t="str">
            <v>TH-82</v>
          </cell>
          <cell r="D29">
            <v>2013</v>
          </cell>
          <cell r="E29">
            <v>0.33110354199999997</v>
          </cell>
        </row>
        <row r="30">
          <cell r="A30" t="str">
            <v>TH-94</v>
          </cell>
          <cell r="D30">
            <v>2013</v>
          </cell>
          <cell r="E30">
            <v>0.89100509100000003</v>
          </cell>
        </row>
        <row r="31">
          <cell r="A31" t="str">
            <v>TH-13</v>
          </cell>
          <cell r="D31">
            <v>2013</v>
          </cell>
          <cell r="E31">
            <v>6.0403018460000002</v>
          </cell>
        </row>
        <row r="32">
          <cell r="A32" t="str">
            <v>TH-80</v>
          </cell>
          <cell r="D32">
            <v>2013</v>
          </cell>
          <cell r="E32">
            <v>0.37318583999999999</v>
          </cell>
        </row>
        <row r="33">
          <cell r="A33" t="str">
            <v>TH-26</v>
          </cell>
          <cell r="D33">
            <v>2013</v>
          </cell>
          <cell r="E33">
            <v>0.48783031300000002</v>
          </cell>
        </row>
        <row r="34">
          <cell r="A34" t="str">
            <v>TH-49</v>
          </cell>
          <cell r="D34">
            <v>2013</v>
          </cell>
          <cell r="E34">
            <v>0.19077941700000001</v>
          </cell>
        </row>
        <row r="35">
          <cell r="A35" t="str">
            <v>TH-16</v>
          </cell>
          <cell r="D35">
            <v>2013</v>
          </cell>
          <cell r="E35">
            <v>0.44656762799999999</v>
          </cell>
        </row>
        <row r="36">
          <cell r="A36" t="str">
            <v>TH-81</v>
          </cell>
          <cell r="D36">
            <v>2013</v>
          </cell>
          <cell r="E36">
            <v>0.36824221600000001</v>
          </cell>
        </row>
        <row r="37">
          <cell r="A37" t="str">
            <v>TH-20</v>
          </cell>
          <cell r="D37">
            <v>2013</v>
          </cell>
          <cell r="E37">
            <v>3.9219699399999999</v>
          </cell>
        </row>
        <row r="38">
          <cell r="A38" t="str">
            <v>TH-50</v>
          </cell>
          <cell r="D38">
            <v>2013</v>
          </cell>
          <cell r="E38">
            <v>0.29179207699999998</v>
          </cell>
        </row>
        <row r="39">
          <cell r="A39" t="str">
            <v>TH-18</v>
          </cell>
          <cell r="D39">
            <v>2013</v>
          </cell>
          <cell r="E39">
            <v>0.50040037800000003</v>
          </cell>
        </row>
        <row r="40">
          <cell r="A40" t="str">
            <v>TH-37</v>
          </cell>
          <cell r="D40">
            <v>2013</v>
          </cell>
          <cell r="E40">
            <v>0.182019136</v>
          </cell>
        </row>
        <row r="41">
          <cell r="A41" t="str">
            <v>TH-74</v>
          </cell>
          <cell r="D41">
            <v>2013</v>
          </cell>
          <cell r="E41">
            <v>4.9384251880000001</v>
          </cell>
        </row>
        <row r="42">
          <cell r="A42" t="str">
            <v>TH-11</v>
          </cell>
          <cell r="D42">
            <v>2013</v>
          </cell>
          <cell r="E42">
            <v>11.81552825</v>
          </cell>
        </row>
        <row r="43">
          <cell r="A43" t="str">
            <v>TH-55</v>
          </cell>
          <cell r="D43">
            <v>2013</v>
          </cell>
          <cell r="E43">
            <v>7.5178526999999995E-2</v>
          </cell>
        </row>
        <row r="44">
          <cell r="A44" t="str">
            <v>TH-22</v>
          </cell>
          <cell r="D44">
            <v>2013</v>
          </cell>
          <cell r="E44">
            <v>0.314217892</v>
          </cell>
        </row>
        <row r="45">
          <cell r="A45" t="str">
            <v>TH-48</v>
          </cell>
          <cell r="D45">
            <v>2013</v>
          </cell>
          <cell r="E45">
            <v>0.29525187200000003</v>
          </cell>
        </row>
        <row r="46">
          <cell r="A46" t="str">
            <v>TH-71</v>
          </cell>
          <cell r="D46">
            <v>2013</v>
          </cell>
          <cell r="E46">
            <v>0.198116299</v>
          </cell>
        </row>
        <row r="47">
          <cell r="A47" t="str">
            <v>TH-58</v>
          </cell>
          <cell r="D47">
            <v>2013</v>
          </cell>
          <cell r="E47">
            <v>2.5027934000000002E-2</v>
          </cell>
        </row>
        <row r="48">
          <cell r="A48" t="str">
            <v>TH-27</v>
          </cell>
          <cell r="D48">
            <v>2013</v>
          </cell>
          <cell r="E48">
            <v>0.213172007</v>
          </cell>
        </row>
        <row r="49">
          <cell r="A49" t="str">
            <v>TH-91</v>
          </cell>
          <cell r="D49">
            <v>2013</v>
          </cell>
          <cell r="E49">
            <v>0.476934152</v>
          </cell>
        </row>
        <row r="50">
          <cell r="A50" t="str">
            <v>TH-73</v>
          </cell>
          <cell r="D50">
            <v>2013</v>
          </cell>
          <cell r="E50">
            <v>3.3163695940000002</v>
          </cell>
        </row>
        <row r="51">
          <cell r="A51" t="str">
            <v>TH-51</v>
          </cell>
          <cell r="D51">
            <v>2013</v>
          </cell>
          <cell r="E51">
            <v>0.36393990300000001</v>
          </cell>
        </row>
        <row r="52">
          <cell r="A52" t="str">
            <v>TH-23</v>
          </cell>
          <cell r="D52">
            <v>2013</v>
          </cell>
          <cell r="E52">
            <v>0.206199521</v>
          </cell>
        </row>
        <row r="53">
          <cell r="A53" t="str">
            <v>TH-70</v>
          </cell>
          <cell r="D53">
            <v>2013</v>
          </cell>
          <cell r="E53">
            <v>0.96082311099999995</v>
          </cell>
        </row>
        <row r="54">
          <cell r="A54" t="str">
            <v>TH-35</v>
          </cell>
          <cell r="D54">
            <v>2013</v>
          </cell>
          <cell r="E54">
            <v>0.240691351</v>
          </cell>
        </row>
        <row r="55">
          <cell r="A55" t="str">
            <v>TH-54</v>
          </cell>
          <cell r="D55">
            <v>2013</v>
          </cell>
          <cell r="E55">
            <v>0.19160693300000001</v>
          </cell>
        </row>
        <row r="56">
          <cell r="A56" t="str">
            <v>TH-95</v>
          </cell>
          <cell r="D56">
            <v>2013</v>
          </cell>
          <cell r="E56">
            <v>0.33592427499999999</v>
          </cell>
        </row>
        <row r="57">
          <cell r="A57" t="str">
            <v>TH-53</v>
          </cell>
          <cell r="D57">
            <v>2013</v>
          </cell>
          <cell r="E57">
            <v>0.174068576</v>
          </cell>
        </row>
        <row r="58">
          <cell r="A58" t="str">
            <v>TH-31</v>
          </cell>
          <cell r="D58">
            <v>2013</v>
          </cell>
          <cell r="E58">
            <v>0.226713268</v>
          </cell>
        </row>
        <row r="59">
          <cell r="A59" t="str">
            <v>TH-62</v>
          </cell>
          <cell r="D59">
            <v>2013</v>
          </cell>
          <cell r="E59">
            <v>0.30091953999999999</v>
          </cell>
        </row>
        <row r="60">
          <cell r="A60" t="str">
            <v>TH-52</v>
          </cell>
          <cell r="D60">
            <v>2013</v>
          </cell>
          <cell r="E60">
            <v>0.22128445299999999</v>
          </cell>
        </row>
        <row r="61">
          <cell r="A61" t="str">
            <v>TH-12</v>
          </cell>
          <cell r="D61">
            <v>2013</v>
          </cell>
          <cell r="E61">
            <v>9.4654028889999999</v>
          </cell>
        </row>
        <row r="62">
          <cell r="A62" t="str">
            <v>TH-38</v>
          </cell>
          <cell r="D62">
            <v>2013</v>
          </cell>
          <cell r="E62">
            <v>0.16543862200000001</v>
          </cell>
        </row>
        <row r="63">
          <cell r="A63" t="str">
            <v>TH-96</v>
          </cell>
          <cell r="D63">
            <v>2013</v>
          </cell>
          <cell r="E63">
            <v>0.36786877699999998</v>
          </cell>
        </row>
        <row r="64">
          <cell r="A64" t="str">
            <v>TH-34</v>
          </cell>
          <cell r="D64">
            <v>2013</v>
          </cell>
          <cell r="E64">
            <v>0.21670515000000001</v>
          </cell>
        </row>
        <row r="65">
          <cell r="A65" t="str">
            <v>TH-77</v>
          </cell>
          <cell r="D65">
            <v>2013</v>
          </cell>
          <cell r="E65">
            <v>0.496337643</v>
          </cell>
        </row>
        <row r="66">
          <cell r="A66" t="str">
            <v>TH-90</v>
          </cell>
          <cell r="D66">
            <v>2013</v>
          </cell>
          <cell r="E66">
            <v>0.82310477599999998</v>
          </cell>
        </row>
        <row r="67">
          <cell r="A67" t="str">
            <v>TH-83</v>
          </cell>
          <cell r="D67">
            <v>2013</v>
          </cell>
          <cell r="E67">
            <v>6.6186606670000003</v>
          </cell>
        </row>
        <row r="68">
          <cell r="A68" t="str">
            <v>TH-15</v>
          </cell>
          <cell r="D68">
            <v>2013</v>
          </cell>
          <cell r="E68">
            <v>1.336666779</v>
          </cell>
        </row>
        <row r="69">
          <cell r="A69" t="str">
            <v>TH-44</v>
          </cell>
          <cell r="D69">
            <v>2013</v>
          </cell>
          <cell r="E69">
            <v>0.36712505699999998</v>
          </cell>
        </row>
        <row r="70">
          <cell r="A70" t="str">
            <v>TH-92</v>
          </cell>
          <cell r="D70">
            <v>2013</v>
          </cell>
          <cell r="E70">
            <v>0.39141100600000001</v>
          </cell>
        </row>
        <row r="71">
          <cell r="A71" t="str">
            <v>TH-72</v>
          </cell>
          <cell r="D71">
            <v>2013</v>
          </cell>
          <cell r="E71">
            <v>0.76909320800000003</v>
          </cell>
        </row>
        <row r="72">
          <cell r="A72" t="str">
            <v>TH-17</v>
          </cell>
          <cell r="D72">
            <v>2013</v>
          </cell>
          <cell r="E72">
            <v>1.2967930139999999</v>
          </cell>
        </row>
        <row r="73">
          <cell r="A73" t="str">
            <v>TH-75</v>
          </cell>
          <cell r="D73">
            <v>2013</v>
          </cell>
          <cell r="E73">
            <v>2.3484411870000002</v>
          </cell>
        </row>
        <row r="74">
          <cell r="A74" t="str">
            <v>TH-21</v>
          </cell>
          <cell r="D74">
            <v>2013</v>
          </cell>
          <cell r="E74">
            <v>3.7758841900000002</v>
          </cell>
        </row>
        <row r="75">
          <cell r="A75" t="str">
            <v>TH-25</v>
          </cell>
          <cell r="D75">
            <v>2013</v>
          </cell>
          <cell r="E75">
            <v>0.57882319400000004</v>
          </cell>
        </row>
        <row r="76">
          <cell r="A76" t="str">
            <v>TH-45</v>
          </cell>
          <cell r="D76">
            <v>2013</v>
          </cell>
          <cell r="E76">
            <v>0.29803054499999998</v>
          </cell>
        </row>
        <row r="77">
          <cell r="A77" t="str">
            <v>TH-56</v>
          </cell>
          <cell r="D77">
            <v>2013</v>
          </cell>
          <cell r="E77">
            <v>0.15462405300000001</v>
          </cell>
        </row>
        <row r="78">
          <cell r="A78" t="str">
            <v>TH-60</v>
          </cell>
          <cell r="D78">
            <v>2013</v>
          </cell>
          <cell r="E78">
            <v>0.31498895199999999</v>
          </cell>
        </row>
        <row r="79">
          <cell r="A79" t="str">
            <v>TH-39</v>
          </cell>
          <cell r="D79">
            <v>2014</v>
          </cell>
          <cell r="E79">
            <v>0.24231887999999999</v>
          </cell>
        </row>
        <row r="80">
          <cell r="A80" t="str">
            <v>TH-24</v>
          </cell>
          <cell r="D80">
            <v>2014</v>
          </cell>
          <cell r="E80">
            <v>1.060616081</v>
          </cell>
        </row>
        <row r="81">
          <cell r="A81" t="str">
            <v>TH-32</v>
          </cell>
          <cell r="D81">
            <v>2014</v>
          </cell>
          <cell r="E81">
            <v>0.18301540799999999</v>
          </cell>
        </row>
        <row r="82">
          <cell r="A82" t="str">
            <v>TH-30</v>
          </cell>
          <cell r="D82">
            <v>2014</v>
          </cell>
          <cell r="E82">
            <v>0.41301397000000001</v>
          </cell>
        </row>
        <row r="83">
          <cell r="A83" t="str">
            <v>TH-64</v>
          </cell>
          <cell r="D83">
            <v>2014</v>
          </cell>
          <cell r="E83">
            <v>0.26569390599999998</v>
          </cell>
        </row>
        <row r="84">
          <cell r="A84" t="str">
            <v>TH-76</v>
          </cell>
          <cell r="D84">
            <v>2014</v>
          </cell>
          <cell r="E84">
            <v>0.73627688000000002</v>
          </cell>
        </row>
        <row r="85">
          <cell r="A85" t="str">
            <v>TH-36</v>
          </cell>
          <cell r="D85">
            <v>2014</v>
          </cell>
          <cell r="E85">
            <v>0.196550006</v>
          </cell>
        </row>
        <row r="86">
          <cell r="A86" t="str">
            <v>TH-67</v>
          </cell>
          <cell r="D86">
            <v>2014</v>
          </cell>
          <cell r="E86">
            <v>0.20543214900000001</v>
          </cell>
        </row>
        <row r="87">
          <cell r="A87" t="str">
            <v>TH-84</v>
          </cell>
          <cell r="D87">
            <v>2014</v>
          </cell>
          <cell r="E87">
            <v>0.32883851800000002</v>
          </cell>
        </row>
        <row r="88">
          <cell r="A88" t="str">
            <v>TH-33</v>
          </cell>
          <cell r="D88">
            <v>2014</v>
          </cell>
          <cell r="E88">
            <v>0.17944766300000001</v>
          </cell>
        </row>
        <row r="89">
          <cell r="A89" t="str">
            <v>TH-43</v>
          </cell>
          <cell r="D89">
            <v>2014</v>
          </cell>
          <cell r="E89">
            <v>0.35407141399999997</v>
          </cell>
        </row>
        <row r="90">
          <cell r="A90" t="str">
            <v>TH-10</v>
          </cell>
          <cell r="D90">
            <v>2014</v>
          </cell>
          <cell r="E90">
            <v>18.77726075</v>
          </cell>
        </row>
        <row r="91">
          <cell r="A91" t="str">
            <v>TH-40</v>
          </cell>
          <cell r="D91">
            <v>2014</v>
          </cell>
          <cell r="E91">
            <v>0.54013291799999996</v>
          </cell>
        </row>
        <row r="92">
          <cell r="A92" t="str">
            <v>TH-42</v>
          </cell>
          <cell r="D92">
            <v>2014</v>
          </cell>
          <cell r="E92">
            <v>0.137533144</v>
          </cell>
        </row>
        <row r="93">
          <cell r="A93" t="str">
            <v>TH-19</v>
          </cell>
          <cell r="D93">
            <v>2014</v>
          </cell>
          <cell r="E93">
            <v>2.0045066020000002</v>
          </cell>
        </row>
        <row r="94">
          <cell r="A94" t="str">
            <v>TH-61</v>
          </cell>
          <cell r="D94">
            <v>2014</v>
          </cell>
          <cell r="E94">
            <v>0.17061326099999999</v>
          </cell>
        </row>
        <row r="95">
          <cell r="A95" t="str">
            <v>TH-86</v>
          </cell>
          <cell r="D95">
            <v>2014</v>
          </cell>
          <cell r="E95">
            <v>0.318261299</v>
          </cell>
        </row>
        <row r="96">
          <cell r="A96" t="str">
            <v>TH-46</v>
          </cell>
          <cell r="D96">
            <v>2014</v>
          </cell>
          <cell r="E96">
            <v>0.31271176699999997</v>
          </cell>
        </row>
        <row r="97">
          <cell r="A97" t="str">
            <v>TH-65</v>
          </cell>
          <cell r="D97">
            <v>2014</v>
          </cell>
          <cell r="E97">
            <v>0.27022363700000002</v>
          </cell>
        </row>
        <row r="98">
          <cell r="A98" t="str">
            <v>TH-85</v>
          </cell>
          <cell r="D98">
            <v>2014</v>
          </cell>
          <cell r="E98">
            <v>0.23956523699999999</v>
          </cell>
        </row>
        <row r="99">
          <cell r="A99" t="str">
            <v>TH-41</v>
          </cell>
          <cell r="D99">
            <v>2014</v>
          </cell>
          <cell r="E99">
            <v>0.31092063199999997</v>
          </cell>
        </row>
        <row r="100">
          <cell r="A100" t="str">
            <v>TH-47</v>
          </cell>
          <cell r="D100">
            <v>2014</v>
          </cell>
          <cell r="E100">
            <v>0.189702127</v>
          </cell>
        </row>
        <row r="101">
          <cell r="A101" t="str">
            <v>TH-57</v>
          </cell>
          <cell r="D101">
            <v>2014</v>
          </cell>
          <cell r="E101">
            <v>0.29776224400000001</v>
          </cell>
        </row>
        <row r="102">
          <cell r="A102" t="str">
            <v>TH-63</v>
          </cell>
          <cell r="D102">
            <v>2014</v>
          </cell>
          <cell r="E102">
            <v>0.103280787</v>
          </cell>
        </row>
        <row r="103">
          <cell r="A103" t="str">
            <v>TH-14</v>
          </cell>
          <cell r="D103">
            <v>2014</v>
          </cell>
          <cell r="E103">
            <v>3.4134217750000002</v>
          </cell>
        </row>
        <row r="104">
          <cell r="A104" t="str">
            <v>TH-66</v>
          </cell>
          <cell r="D104">
            <v>2014</v>
          </cell>
          <cell r="E104">
            <v>0.32254325299999997</v>
          </cell>
        </row>
        <row r="105">
          <cell r="A105" t="str">
            <v>TH-93</v>
          </cell>
          <cell r="D105">
            <v>2014</v>
          </cell>
          <cell r="E105">
            <v>0.38542374699999998</v>
          </cell>
        </row>
        <row r="106">
          <cell r="A106" t="str">
            <v>TH-82</v>
          </cell>
          <cell r="D106">
            <v>2014</v>
          </cell>
          <cell r="E106">
            <v>0.34313832700000002</v>
          </cell>
        </row>
        <row r="107">
          <cell r="A107" t="str">
            <v>TH-94</v>
          </cell>
          <cell r="D107">
            <v>2014</v>
          </cell>
          <cell r="E107">
            <v>0.97165395499999996</v>
          </cell>
        </row>
        <row r="108">
          <cell r="A108" t="str">
            <v>TH-13</v>
          </cell>
          <cell r="D108">
            <v>2014</v>
          </cell>
          <cell r="E108">
            <v>6.5437249939999997</v>
          </cell>
        </row>
        <row r="109">
          <cell r="A109" t="str">
            <v>TH-80</v>
          </cell>
          <cell r="D109">
            <v>2014</v>
          </cell>
          <cell r="E109">
            <v>0.40205890999999999</v>
          </cell>
        </row>
        <row r="110">
          <cell r="A110" t="str">
            <v>TH-26</v>
          </cell>
          <cell r="D110">
            <v>2014</v>
          </cell>
          <cell r="E110">
            <v>0.56547050499999996</v>
          </cell>
        </row>
        <row r="111">
          <cell r="A111" t="str">
            <v>TH-49</v>
          </cell>
          <cell r="D111">
            <v>2014</v>
          </cell>
          <cell r="E111">
            <v>0.17497131899999999</v>
          </cell>
        </row>
        <row r="112">
          <cell r="A112" t="str">
            <v>TH-16</v>
          </cell>
          <cell r="D112">
            <v>2014</v>
          </cell>
          <cell r="E112">
            <v>0.44798907799999999</v>
          </cell>
        </row>
        <row r="113">
          <cell r="A113" t="str">
            <v>TH-81</v>
          </cell>
          <cell r="D113">
            <v>2014</v>
          </cell>
          <cell r="E113">
            <v>0.37450510100000001</v>
          </cell>
        </row>
        <row r="114">
          <cell r="A114" t="str">
            <v>TH-20</v>
          </cell>
          <cell r="D114">
            <v>2014</v>
          </cell>
          <cell r="E114">
            <v>4.3935895680000003</v>
          </cell>
        </row>
        <row r="115">
          <cell r="A115" t="str">
            <v>TH-50</v>
          </cell>
          <cell r="D115">
            <v>2014</v>
          </cell>
          <cell r="E115">
            <v>0.32154262900000002</v>
          </cell>
        </row>
        <row r="116">
          <cell r="A116" t="str">
            <v>TH-18</v>
          </cell>
          <cell r="D116">
            <v>2014</v>
          </cell>
          <cell r="E116">
            <v>0.51303275400000004</v>
          </cell>
        </row>
        <row r="117">
          <cell r="A117" t="str">
            <v>TH-37</v>
          </cell>
          <cell r="D117">
            <v>2014</v>
          </cell>
          <cell r="E117">
            <v>0.200234511</v>
          </cell>
        </row>
        <row r="118">
          <cell r="A118" t="str">
            <v>TH-74</v>
          </cell>
          <cell r="D118">
            <v>2014</v>
          </cell>
          <cell r="E118">
            <v>5.2876356150000001</v>
          </cell>
        </row>
        <row r="119">
          <cell r="A119" t="str">
            <v>TH-11</v>
          </cell>
          <cell r="D119">
            <v>2014</v>
          </cell>
          <cell r="E119">
            <v>13.03203776</v>
          </cell>
        </row>
        <row r="120">
          <cell r="A120" t="str">
            <v>TH-55</v>
          </cell>
          <cell r="D120">
            <v>2014</v>
          </cell>
          <cell r="E120">
            <v>7.5530184E-2</v>
          </cell>
        </row>
        <row r="121">
          <cell r="A121" t="str">
            <v>TH-22</v>
          </cell>
          <cell r="D121">
            <v>2014</v>
          </cell>
          <cell r="E121">
            <v>0.34316996300000002</v>
          </cell>
        </row>
        <row r="122">
          <cell r="A122" t="str">
            <v>TH-48</v>
          </cell>
          <cell r="D122">
            <v>2014</v>
          </cell>
          <cell r="E122">
            <v>0.28407515999999999</v>
          </cell>
        </row>
        <row r="123">
          <cell r="A123" t="str">
            <v>TH-71</v>
          </cell>
          <cell r="D123">
            <v>2014</v>
          </cell>
          <cell r="E123">
            <v>0.19950889499999999</v>
          </cell>
        </row>
        <row r="124">
          <cell r="A124" t="str">
            <v>TH-58</v>
          </cell>
          <cell r="D124">
            <v>2014</v>
          </cell>
          <cell r="E124">
            <v>2.6673675000000001E-2</v>
          </cell>
        </row>
        <row r="125">
          <cell r="A125" t="str">
            <v>TH-27</v>
          </cell>
          <cell r="D125">
            <v>2014</v>
          </cell>
          <cell r="E125">
            <v>0.212721041</v>
          </cell>
        </row>
        <row r="126">
          <cell r="A126" t="str">
            <v>TH-91</v>
          </cell>
          <cell r="D126">
            <v>2014</v>
          </cell>
          <cell r="E126">
            <v>0.52933285100000005</v>
          </cell>
        </row>
        <row r="127">
          <cell r="A127" t="str">
            <v>TH-73</v>
          </cell>
          <cell r="D127">
            <v>2014</v>
          </cell>
          <cell r="E127">
            <v>3.505304454</v>
          </cell>
        </row>
        <row r="128">
          <cell r="A128" t="str">
            <v>TH-51</v>
          </cell>
          <cell r="D128">
            <v>2014</v>
          </cell>
          <cell r="E128">
            <v>0.39941347500000002</v>
          </cell>
        </row>
        <row r="129">
          <cell r="A129" t="str">
            <v>TH-23</v>
          </cell>
          <cell r="D129">
            <v>2014</v>
          </cell>
          <cell r="E129">
            <v>0.2143417</v>
          </cell>
        </row>
        <row r="130">
          <cell r="A130" t="str">
            <v>TH-70</v>
          </cell>
          <cell r="D130">
            <v>2014</v>
          </cell>
          <cell r="E130">
            <v>1.0311806290000001</v>
          </cell>
        </row>
        <row r="131">
          <cell r="A131" t="str">
            <v>TH-35</v>
          </cell>
          <cell r="D131">
            <v>2014</v>
          </cell>
          <cell r="E131">
            <v>0.240835838</v>
          </cell>
        </row>
        <row r="132">
          <cell r="A132" t="str">
            <v>TH-54</v>
          </cell>
          <cell r="D132">
            <v>2014</v>
          </cell>
          <cell r="E132">
            <v>0.191185999</v>
          </cell>
        </row>
        <row r="133">
          <cell r="A133" t="str">
            <v>TH-95</v>
          </cell>
          <cell r="D133">
            <v>2014</v>
          </cell>
          <cell r="E133">
            <v>0.369638299</v>
          </cell>
        </row>
        <row r="134">
          <cell r="A134" t="str">
            <v>TH-53</v>
          </cell>
          <cell r="D134">
            <v>2014</v>
          </cell>
          <cell r="E134">
            <v>0.17644665300000001</v>
          </cell>
        </row>
        <row r="135">
          <cell r="A135" t="str">
            <v>TH-31</v>
          </cell>
          <cell r="D135">
            <v>2014</v>
          </cell>
          <cell r="E135">
            <v>0.220286702</v>
          </cell>
        </row>
        <row r="136">
          <cell r="A136" t="str">
            <v>TH-62</v>
          </cell>
          <cell r="D136">
            <v>2014</v>
          </cell>
          <cell r="E136">
            <v>0.27693553399999998</v>
          </cell>
        </row>
        <row r="137">
          <cell r="A137" t="str">
            <v>TH-52</v>
          </cell>
          <cell r="D137">
            <v>2014</v>
          </cell>
          <cell r="E137">
            <v>0.21476579000000001</v>
          </cell>
        </row>
        <row r="138">
          <cell r="A138" t="str">
            <v>TH-12</v>
          </cell>
          <cell r="D138">
            <v>2014</v>
          </cell>
          <cell r="E138">
            <v>10.38091361</v>
          </cell>
        </row>
        <row r="139">
          <cell r="A139" t="str">
            <v>TH-38</v>
          </cell>
          <cell r="D139">
            <v>2014</v>
          </cell>
          <cell r="E139">
            <v>0.15528823999999999</v>
          </cell>
        </row>
        <row r="140">
          <cell r="A140" t="str">
            <v>TH-96</v>
          </cell>
          <cell r="D140">
            <v>2014</v>
          </cell>
          <cell r="E140">
            <v>0.44016149999999998</v>
          </cell>
        </row>
        <row r="141">
          <cell r="A141" t="str">
            <v>TH-34</v>
          </cell>
          <cell r="D141">
            <v>2014</v>
          </cell>
          <cell r="E141">
            <v>0.218987562</v>
          </cell>
        </row>
        <row r="142">
          <cell r="A142" t="str">
            <v>TH-77</v>
          </cell>
          <cell r="D142">
            <v>2014</v>
          </cell>
          <cell r="E142">
            <v>0.50588749600000005</v>
          </cell>
        </row>
        <row r="143">
          <cell r="A143" t="str">
            <v>TH-90</v>
          </cell>
          <cell r="D143">
            <v>2014</v>
          </cell>
          <cell r="E143">
            <v>0.88796398700000001</v>
          </cell>
        </row>
        <row r="144">
          <cell r="A144" t="str">
            <v>TH-83</v>
          </cell>
          <cell r="D144">
            <v>2014</v>
          </cell>
          <cell r="E144">
            <v>7.0325866299999999</v>
          </cell>
        </row>
        <row r="145">
          <cell r="A145" t="str">
            <v>TH-15</v>
          </cell>
          <cell r="D145">
            <v>2014</v>
          </cell>
          <cell r="E145">
            <v>1.443191855</v>
          </cell>
        </row>
        <row r="146">
          <cell r="A146" t="str">
            <v>TH-44</v>
          </cell>
          <cell r="D146">
            <v>2014</v>
          </cell>
          <cell r="E146">
            <v>0.36482956100000002</v>
          </cell>
        </row>
        <row r="147">
          <cell r="A147" t="str">
            <v>TH-92</v>
          </cell>
          <cell r="D147">
            <v>2014</v>
          </cell>
          <cell r="E147">
            <v>0.43997226299999997</v>
          </cell>
        </row>
        <row r="148">
          <cell r="A148" t="str">
            <v>TH-72</v>
          </cell>
          <cell r="D148">
            <v>2014</v>
          </cell>
          <cell r="E148">
            <v>0.771283049</v>
          </cell>
        </row>
        <row r="149">
          <cell r="A149" t="str">
            <v>TH-17</v>
          </cell>
          <cell r="D149">
            <v>2014</v>
          </cell>
          <cell r="E149">
            <v>1.3924535739999999</v>
          </cell>
        </row>
        <row r="150">
          <cell r="A150" t="str">
            <v>TH-75</v>
          </cell>
          <cell r="D150">
            <v>2014</v>
          </cell>
          <cell r="E150">
            <v>2.4833242950000001</v>
          </cell>
        </row>
        <row r="151">
          <cell r="A151" t="str">
            <v>TH-21</v>
          </cell>
          <cell r="D151">
            <v>2014</v>
          </cell>
          <cell r="E151">
            <v>4.2077311499999999</v>
          </cell>
        </row>
        <row r="152">
          <cell r="A152" t="str">
            <v>TH-25</v>
          </cell>
          <cell r="D152">
            <v>2014</v>
          </cell>
          <cell r="E152">
            <v>0.64618782299999999</v>
          </cell>
        </row>
        <row r="153">
          <cell r="A153" t="str">
            <v>TH-45</v>
          </cell>
          <cell r="D153">
            <v>2014</v>
          </cell>
          <cell r="E153">
            <v>0.27610074499999998</v>
          </cell>
        </row>
        <row r="154">
          <cell r="A154" t="str">
            <v>TH-56</v>
          </cell>
          <cell r="D154">
            <v>2014</v>
          </cell>
          <cell r="E154">
            <v>0.16085407900000001</v>
          </cell>
        </row>
        <row r="155">
          <cell r="A155" t="str">
            <v>TH-60</v>
          </cell>
          <cell r="D155">
            <v>2014</v>
          </cell>
          <cell r="E155">
            <v>0.31903321299999998</v>
          </cell>
        </row>
        <row r="156">
          <cell r="A156" t="str">
            <v>TH-39</v>
          </cell>
          <cell r="D156">
            <v>2015</v>
          </cell>
          <cell r="E156">
            <v>0.26923688400000001</v>
          </cell>
        </row>
        <row r="157">
          <cell r="A157" t="str">
            <v>TH-24</v>
          </cell>
          <cell r="D157">
            <v>2015</v>
          </cell>
          <cell r="E157">
            <v>1.1514753710000001</v>
          </cell>
        </row>
        <row r="158">
          <cell r="A158" t="str">
            <v>TH-32</v>
          </cell>
          <cell r="D158">
            <v>2015</v>
          </cell>
          <cell r="E158">
            <v>0.21700431100000001</v>
          </cell>
        </row>
        <row r="159">
          <cell r="A159" t="str">
            <v>TH-30</v>
          </cell>
          <cell r="D159">
            <v>2015</v>
          </cell>
          <cell r="E159">
            <v>0.46489699699999998</v>
          </cell>
        </row>
        <row r="160">
          <cell r="A160" t="str">
            <v>TH-64</v>
          </cell>
          <cell r="D160">
            <v>2015</v>
          </cell>
          <cell r="E160">
            <v>0.30350328199999999</v>
          </cell>
        </row>
        <row r="161">
          <cell r="A161" t="str">
            <v>TH-76</v>
          </cell>
          <cell r="D161">
            <v>2015</v>
          </cell>
          <cell r="E161">
            <v>0.83635084599999998</v>
          </cell>
        </row>
        <row r="162">
          <cell r="A162" t="str">
            <v>TH-36</v>
          </cell>
          <cell r="D162">
            <v>2015</v>
          </cell>
          <cell r="E162">
            <v>0.221950709</v>
          </cell>
        </row>
        <row r="163">
          <cell r="A163" t="str">
            <v>TH-67</v>
          </cell>
          <cell r="D163">
            <v>2015</v>
          </cell>
          <cell r="E163">
            <v>0.22477677800000001</v>
          </cell>
        </row>
        <row r="164">
          <cell r="A164" t="str">
            <v>TH-84</v>
          </cell>
          <cell r="D164">
            <v>2015</v>
          </cell>
          <cell r="E164">
            <v>0.32951655699999999</v>
          </cell>
        </row>
        <row r="165">
          <cell r="A165" t="str">
            <v>TH-33</v>
          </cell>
          <cell r="D165">
            <v>2015</v>
          </cell>
          <cell r="E165">
            <v>0.20190527699999999</v>
          </cell>
        </row>
        <row r="166">
          <cell r="A166" t="str">
            <v>TH-43</v>
          </cell>
          <cell r="D166">
            <v>2015</v>
          </cell>
          <cell r="E166">
            <v>0.43116692200000001</v>
          </cell>
        </row>
        <row r="167">
          <cell r="A167" t="str">
            <v>TH-10</v>
          </cell>
          <cell r="D167">
            <v>2015</v>
          </cell>
          <cell r="E167">
            <v>19.752635690000002</v>
          </cell>
        </row>
        <row r="168">
          <cell r="A168" t="str">
            <v>TH-40</v>
          </cell>
          <cell r="D168">
            <v>2015</v>
          </cell>
          <cell r="E168">
            <v>0.58809559899999997</v>
          </cell>
        </row>
        <row r="169">
          <cell r="A169" t="str">
            <v>TH-42</v>
          </cell>
          <cell r="D169">
            <v>2015</v>
          </cell>
          <cell r="E169">
            <v>0.14857215300000001</v>
          </cell>
        </row>
        <row r="170">
          <cell r="A170" t="str">
            <v>TH-19</v>
          </cell>
          <cell r="D170">
            <v>2015</v>
          </cell>
          <cell r="E170">
            <v>2.1123865980000001</v>
          </cell>
        </row>
        <row r="171">
          <cell r="A171" t="str">
            <v>TH-61</v>
          </cell>
          <cell r="D171">
            <v>2015</v>
          </cell>
          <cell r="E171">
            <v>0.19765222599999999</v>
          </cell>
        </row>
        <row r="172">
          <cell r="A172" t="str">
            <v>TH-86</v>
          </cell>
          <cell r="D172">
            <v>2015</v>
          </cell>
          <cell r="E172">
            <v>0.32958974200000002</v>
          </cell>
        </row>
        <row r="173">
          <cell r="A173" t="str">
            <v>TH-46</v>
          </cell>
          <cell r="D173">
            <v>2015</v>
          </cell>
          <cell r="E173">
            <v>0.36187758399999997</v>
          </cell>
        </row>
        <row r="174">
          <cell r="A174" t="str">
            <v>TH-65</v>
          </cell>
          <cell r="D174">
            <v>2015</v>
          </cell>
          <cell r="E174">
            <v>0.33634051500000001</v>
          </cell>
        </row>
        <row r="175">
          <cell r="A175" t="str">
            <v>TH-85</v>
          </cell>
          <cell r="D175">
            <v>2015</v>
          </cell>
          <cell r="E175">
            <v>0.25111628600000002</v>
          </cell>
        </row>
        <row r="176">
          <cell r="A176" t="str">
            <v>TH-41</v>
          </cell>
          <cell r="D176">
            <v>2015</v>
          </cell>
          <cell r="E176">
            <v>0.35534169900000001</v>
          </cell>
        </row>
        <row r="177">
          <cell r="A177" t="str">
            <v>TH-47</v>
          </cell>
          <cell r="D177">
            <v>2015</v>
          </cell>
          <cell r="E177">
            <v>0.21989303900000001</v>
          </cell>
        </row>
        <row r="178">
          <cell r="A178" t="str">
            <v>TH-57</v>
          </cell>
          <cell r="D178">
            <v>2015</v>
          </cell>
          <cell r="E178">
            <v>0.34881458500000001</v>
          </cell>
        </row>
        <row r="179">
          <cell r="A179" t="str">
            <v>TH-63</v>
          </cell>
          <cell r="D179">
            <v>2015</v>
          </cell>
          <cell r="E179">
            <v>0.12123917200000001</v>
          </cell>
        </row>
        <row r="180">
          <cell r="A180" t="str">
            <v>TH-14</v>
          </cell>
          <cell r="D180">
            <v>2015</v>
          </cell>
          <cell r="E180">
            <v>3.6563590380000002</v>
          </cell>
        </row>
        <row r="181">
          <cell r="A181" t="str">
            <v>TH-66</v>
          </cell>
          <cell r="D181">
            <v>2015</v>
          </cell>
          <cell r="E181">
            <v>0.39566945999999997</v>
          </cell>
        </row>
        <row r="182">
          <cell r="A182" t="str">
            <v>TH-93</v>
          </cell>
          <cell r="D182">
            <v>2015</v>
          </cell>
          <cell r="E182">
            <v>0.440666538</v>
          </cell>
        </row>
        <row r="183">
          <cell r="A183" t="str">
            <v>TH-82</v>
          </cell>
          <cell r="D183">
            <v>2015</v>
          </cell>
          <cell r="E183">
            <v>0.37053693999999998</v>
          </cell>
        </row>
        <row r="184">
          <cell r="A184" t="str">
            <v>TH-94</v>
          </cell>
          <cell r="D184">
            <v>2015</v>
          </cell>
          <cell r="E184">
            <v>1.1157375789999999</v>
          </cell>
        </row>
        <row r="185">
          <cell r="A185" t="str">
            <v>TH-13</v>
          </cell>
          <cell r="D185">
            <v>2015</v>
          </cell>
          <cell r="E185">
            <v>6.9181258320000003</v>
          </cell>
        </row>
        <row r="186">
          <cell r="A186" t="str">
            <v>TH-80</v>
          </cell>
          <cell r="D186">
            <v>2015</v>
          </cell>
          <cell r="E186">
            <v>0.42137264200000002</v>
          </cell>
        </row>
        <row r="187">
          <cell r="A187" t="str">
            <v>TH-26</v>
          </cell>
          <cell r="D187">
            <v>2015</v>
          </cell>
          <cell r="E187">
            <v>0.67102764699999995</v>
          </cell>
        </row>
        <row r="188">
          <cell r="A188" t="str">
            <v>TH-49</v>
          </cell>
          <cell r="D188">
            <v>2015</v>
          </cell>
          <cell r="E188">
            <v>0.199497806</v>
          </cell>
        </row>
        <row r="189">
          <cell r="A189" t="str">
            <v>TH-16</v>
          </cell>
          <cell r="D189">
            <v>2015</v>
          </cell>
          <cell r="E189">
            <v>0.49884864000000001</v>
          </cell>
        </row>
        <row r="190">
          <cell r="A190" t="str">
            <v>TH-81</v>
          </cell>
          <cell r="D190">
            <v>2015</v>
          </cell>
          <cell r="E190">
            <v>0.39081439699999998</v>
          </cell>
        </row>
        <row r="191">
          <cell r="A191" t="str">
            <v>TH-20</v>
          </cell>
          <cell r="D191">
            <v>2015</v>
          </cell>
          <cell r="E191">
            <v>4.566412541</v>
          </cell>
        </row>
        <row r="192">
          <cell r="A192" t="str">
            <v>TH-50</v>
          </cell>
          <cell r="D192">
            <v>2015</v>
          </cell>
          <cell r="E192">
            <v>0.358442392</v>
          </cell>
        </row>
        <row r="193">
          <cell r="A193" t="str">
            <v>TH-18</v>
          </cell>
          <cell r="D193">
            <v>2015</v>
          </cell>
          <cell r="E193">
            <v>0.613867159</v>
          </cell>
        </row>
        <row r="194">
          <cell r="A194" t="str">
            <v>TH-37</v>
          </cell>
          <cell r="D194">
            <v>2015</v>
          </cell>
          <cell r="E194">
            <v>0.23916342400000001</v>
          </cell>
        </row>
        <row r="195">
          <cell r="A195" t="str">
            <v>TH-74</v>
          </cell>
          <cell r="D195">
            <v>2015</v>
          </cell>
          <cell r="E195">
            <v>5.9051190499999997</v>
          </cell>
        </row>
        <row r="196">
          <cell r="A196" t="str">
            <v>TH-11</v>
          </cell>
          <cell r="D196">
            <v>2015</v>
          </cell>
          <cell r="E196">
            <v>13.540475499999999</v>
          </cell>
        </row>
        <row r="197">
          <cell r="A197" t="str">
            <v>TH-55</v>
          </cell>
          <cell r="D197">
            <v>2015</v>
          </cell>
          <cell r="E197">
            <v>8.9826873000000002E-2</v>
          </cell>
        </row>
        <row r="198">
          <cell r="A198" t="str">
            <v>TH-22</v>
          </cell>
          <cell r="D198">
            <v>2015</v>
          </cell>
          <cell r="E198">
            <v>0.38771952799999998</v>
          </cell>
        </row>
        <row r="199">
          <cell r="A199" t="str">
            <v>TH-48</v>
          </cell>
          <cell r="D199">
            <v>2015</v>
          </cell>
          <cell r="E199">
            <v>0.33473424200000002</v>
          </cell>
        </row>
        <row r="200">
          <cell r="A200" t="str">
            <v>TH-71</v>
          </cell>
          <cell r="D200">
            <v>2015</v>
          </cell>
          <cell r="E200">
            <v>0.23957875300000001</v>
          </cell>
        </row>
        <row r="201">
          <cell r="A201" t="str">
            <v>TH-58</v>
          </cell>
          <cell r="D201">
            <v>2015</v>
          </cell>
          <cell r="E201">
            <v>3.0313013999999999E-2</v>
          </cell>
        </row>
        <row r="202">
          <cell r="A202" t="str">
            <v>TH-27</v>
          </cell>
          <cell r="D202">
            <v>2015</v>
          </cell>
          <cell r="E202">
            <v>0.26343560500000002</v>
          </cell>
        </row>
        <row r="203">
          <cell r="A203" t="str">
            <v>TH-91</v>
          </cell>
          <cell r="D203">
            <v>2015</v>
          </cell>
          <cell r="E203">
            <v>0.56750077899999996</v>
          </cell>
        </row>
        <row r="204">
          <cell r="A204" t="str">
            <v>TH-73</v>
          </cell>
          <cell r="D204">
            <v>2015</v>
          </cell>
          <cell r="E204">
            <v>3.751647207</v>
          </cell>
        </row>
        <row r="205">
          <cell r="A205" t="str">
            <v>TH-51</v>
          </cell>
          <cell r="D205">
            <v>2015</v>
          </cell>
          <cell r="E205">
            <v>0.46562610999999998</v>
          </cell>
        </row>
        <row r="206">
          <cell r="A206" t="str">
            <v>TH-23</v>
          </cell>
          <cell r="D206">
            <v>2015</v>
          </cell>
          <cell r="E206">
            <v>0.246796714</v>
          </cell>
        </row>
        <row r="207">
          <cell r="A207" t="str">
            <v>TH-70</v>
          </cell>
          <cell r="D207">
            <v>2015</v>
          </cell>
          <cell r="E207">
            <v>1.103585772</v>
          </cell>
        </row>
        <row r="208">
          <cell r="A208" t="str">
            <v>TH-35</v>
          </cell>
          <cell r="D208">
            <v>2015</v>
          </cell>
          <cell r="E208">
            <v>0.28769371100000002</v>
          </cell>
        </row>
        <row r="209">
          <cell r="A209" t="str">
            <v>TH-54</v>
          </cell>
          <cell r="D209">
            <v>2015</v>
          </cell>
          <cell r="E209">
            <v>0.23202461599999999</v>
          </cell>
        </row>
        <row r="210">
          <cell r="A210" t="str">
            <v>TH-95</v>
          </cell>
          <cell r="D210">
            <v>2015</v>
          </cell>
          <cell r="E210">
            <v>0.40605194100000003</v>
          </cell>
        </row>
        <row r="211">
          <cell r="A211" t="str">
            <v>TH-53</v>
          </cell>
          <cell r="D211">
            <v>2015</v>
          </cell>
          <cell r="E211">
            <v>0.21551810499999999</v>
          </cell>
        </row>
        <row r="212">
          <cell r="A212" t="str">
            <v>TH-31</v>
          </cell>
          <cell r="D212">
            <v>2015</v>
          </cell>
          <cell r="E212">
            <v>0.25848721299999999</v>
          </cell>
        </row>
        <row r="213">
          <cell r="A213" t="str">
            <v>TH-62</v>
          </cell>
          <cell r="D213">
            <v>2015</v>
          </cell>
          <cell r="E213">
            <v>0.33373216100000003</v>
          </cell>
        </row>
        <row r="214">
          <cell r="A214" t="str">
            <v>TH-52</v>
          </cell>
          <cell r="D214">
            <v>2015</v>
          </cell>
          <cell r="E214">
            <v>0.24862490200000001</v>
          </cell>
        </row>
        <row r="215">
          <cell r="A215" t="str">
            <v>TH-12</v>
          </cell>
          <cell r="D215">
            <v>2015</v>
          </cell>
          <cell r="E215">
            <v>11.39001584</v>
          </cell>
        </row>
        <row r="216">
          <cell r="A216" t="str">
            <v>TH-38</v>
          </cell>
          <cell r="D216">
            <v>2015</v>
          </cell>
          <cell r="E216">
            <v>0.18948031300000001</v>
          </cell>
        </row>
        <row r="217">
          <cell r="A217" t="str">
            <v>TH-96</v>
          </cell>
          <cell r="D217">
            <v>2015</v>
          </cell>
          <cell r="E217">
            <v>0.46776266300000002</v>
          </cell>
        </row>
        <row r="218">
          <cell r="A218" t="str">
            <v>TH-34</v>
          </cell>
          <cell r="D218">
            <v>2015</v>
          </cell>
          <cell r="E218">
            <v>0.24752042399999999</v>
          </cell>
        </row>
        <row r="219">
          <cell r="A219" t="str">
            <v>TH-77</v>
          </cell>
          <cell r="D219">
            <v>2015</v>
          </cell>
          <cell r="E219">
            <v>0.56060248499999998</v>
          </cell>
        </row>
        <row r="220">
          <cell r="A220" t="str">
            <v>TH-90</v>
          </cell>
          <cell r="D220">
            <v>2015</v>
          </cell>
          <cell r="E220">
            <v>0.969107092</v>
          </cell>
        </row>
        <row r="221">
          <cell r="A221" t="str">
            <v>TH-83</v>
          </cell>
          <cell r="D221">
            <v>2015</v>
          </cell>
          <cell r="E221">
            <v>7.1367432749999997</v>
          </cell>
        </row>
        <row r="222">
          <cell r="A222" t="str">
            <v>TH-15</v>
          </cell>
          <cell r="D222">
            <v>2015</v>
          </cell>
          <cell r="E222">
            <v>1.639205011</v>
          </cell>
        </row>
        <row r="223">
          <cell r="A223" t="str">
            <v>TH-44</v>
          </cell>
          <cell r="D223">
            <v>2015</v>
          </cell>
          <cell r="E223">
            <v>0.42410574699999998</v>
          </cell>
        </row>
        <row r="224">
          <cell r="A224" t="str">
            <v>TH-92</v>
          </cell>
          <cell r="D224">
            <v>2015</v>
          </cell>
          <cell r="E224">
            <v>0.47969892800000002</v>
          </cell>
        </row>
        <row r="225">
          <cell r="A225" t="str">
            <v>TH-72</v>
          </cell>
          <cell r="D225">
            <v>2015</v>
          </cell>
          <cell r="E225">
            <v>0.89296157300000001</v>
          </cell>
        </row>
        <row r="226">
          <cell r="A226" t="str">
            <v>TH-17</v>
          </cell>
          <cell r="D226">
            <v>2015</v>
          </cell>
          <cell r="E226">
            <v>1.6166156140000001</v>
          </cell>
        </row>
        <row r="227">
          <cell r="A227" t="str">
            <v>TH-75</v>
          </cell>
          <cell r="D227">
            <v>2015</v>
          </cell>
          <cell r="E227">
            <v>2.7178105160000001</v>
          </cell>
        </row>
        <row r="228">
          <cell r="A228" t="str">
            <v>TH-21</v>
          </cell>
          <cell r="D228">
            <v>2015</v>
          </cell>
          <cell r="E228">
            <v>4.3188900339999998</v>
          </cell>
        </row>
        <row r="229">
          <cell r="A229" t="str">
            <v>TH-25</v>
          </cell>
          <cell r="D229">
            <v>2015</v>
          </cell>
          <cell r="E229">
            <v>0.73734721199999997</v>
          </cell>
        </row>
        <row r="230">
          <cell r="A230" t="str">
            <v>TH-45</v>
          </cell>
          <cell r="D230">
            <v>2015</v>
          </cell>
          <cell r="E230">
            <v>0.32092849800000001</v>
          </cell>
        </row>
        <row r="231">
          <cell r="A231" t="str">
            <v>TH-56</v>
          </cell>
          <cell r="D231">
            <v>2015</v>
          </cell>
          <cell r="E231">
            <v>0.19079500399999999</v>
          </cell>
        </row>
        <row r="232">
          <cell r="A232" t="str">
            <v>TH-60</v>
          </cell>
          <cell r="D232">
            <v>2015</v>
          </cell>
          <cell r="E232">
            <v>0.37911110799999997</v>
          </cell>
        </row>
        <row r="233">
          <cell r="A233" t="str">
            <v>TH-39</v>
          </cell>
          <cell r="D233">
            <v>2016</v>
          </cell>
          <cell r="E233">
            <v>0.26508787299999997</v>
          </cell>
        </row>
        <row r="234">
          <cell r="A234" t="str">
            <v>TH-24</v>
          </cell>
          <cell r="D234">
            <v>2016</v>
          </cell>
          <cell r="E234">
            <v>1.216693673</v>
          </cell>
        </row>
        <row r="235">
          <cell r="A235" t="str">
            <v>TH-32</v>
          </cell>
          <cell r="D235">
            <v>2016</v>
          </cell>
          <cell r="E235">
            <v>0.235688852</v>
          </cell>
        </row>
        <row r="236">
          <cell r="A236" t="str">
            <v>TH-30</v>
          </cell>
          <cell r="D236">
            <v>2016</v>
          </cell>
          <cell r="E236">
            <v>0.49391370099999998</v>
          </cell>
        </row>
        <row r="237">
          <cell r="A237" t="str">
            <v>TH-64</v>
          </cell>
          <cell r="D237">
            <v>2016</v>
          </cell>
          <cell r="E237">
            <v>0.30887662900000001</v>
          </cell>
        </row>
        <row r="238">
          <cell r="A238" t="str">
            <v>TH-76</v>
          </cell>
          <cell r="D238">
            <v>2016</v>
          </cell>
          <cell r="E238">
            <v>0.86586932299999997</v>
          </cell>
        </row>
        <row r="239">
          <cell r="A239" t="str">
            <v>TH-36</v>
          </cell>
          <cell r="D239">
            <v>2016</v>
          </cell>
          <cell r="E239">
            <v>0.236688339</v>
          </cell>
        </row>
        <row r="240">
          <cell r="A240" t="str">
            <v>TH-67</v>
          </cell>
          <cell r="D240">
            <v>2016</v>
          </cell>
          <cell r="E240">
            <v>0.227201079</v>
          </cell>
        </row>
        <row r="241">
          <cell r="A241" t="str">
            <v>TH-84</v>
          </cell>
          <cell r="D241">
            <v>2016</v>
          </cell>
          <cell r="E241">
            <v>0.35221523300000002</v>
          </cell>
        </row>
        <row r="242">
          <cell r="A242" t="str">
            <v>TH-33</v>
          </cell>
          <cell r="D242">
            <v>2016</v>
          </cell>
          <cell r="E242">
            <v>0.20471763400000001</v>
          </cell>
        </row>
        <row r="243">
          <cell r="A243" t="str">
            <v>TH-43</v>
          </cell>
          <cell r="D243">
            <v>2016</v>
          </cell>
          <cell r="E243">
            <v>0.47409300300000001</v>
          </cell>
        </row>
        <row r="244">
          <cell r="A244" t="str">
            <v>TH-10</v>
          </cell>
          <cell r="D244">
            <v>2016</v>
          </cell>
          <cell r="E244">
            <v>20.58668664</v>
          </cell>
        </row>
        <row r="245">
          <cell r="A245" t="str">
            <v>TH-40</v>
          </cell>
          <cell r="D245">
            <v>2016</v>
          </cell>
          <cell r="E245">
            <v>0.600472966</v>
          </cell>
        </row>
        <row r="246">
          <cell r="A246" t="str">
            <v>TH-42</v>
          </cell>
          <cell r="D246">
            <v>2016</v>
          </cell>
          <cell r="E246">
            <v>0.14385794399999999</v>
          </cell>
        </row>
        <row r="247">
          <cell r="A247" t="str">
            <v>TH-19</v>
          </cell>
          <cell r="D247">
            <v>2016</v>
          </cell>
          <cell r="E247">
            <v>2.1861823440000001</v>
          </cell>
        </row>
        <row r="248">
          <cell r="A248" t="str">
            <v>TH-61</v>
          </cell>
          <cell r="D248">
            <v>2016</v>
          </cell>
          <cell r="E248">
            <v>0.19251901499999999</v>
          </cell>
        </row>
        <row r="249">
          <cell r="A249" t="str">
            <v>TH-86</v>
          </cell>
          <cell r="D249">
            <v>2016</v>
          </cell>
          <cell r="E249">
            <v>0.35417720200000002</v>
          </cell>
        </row>
        <row r="250">
          <cell r="A250" t="str">
            <v>TH-46</v>
          </cell>
          <cell r="D250">
            <v>2016</v>
          </cell>
          <cell r="E250">
            <v>0.36916580999999998</v>
          </cell>
        </row>
        <row r="251">
          <cell r="A251" t="str">
            <v>TH-65</v>
          </cell>
          <cell r="D251">
            <v>2016</v>
          </cell>
          <cell r="E251">
            <v>0.33025926999999999</v>
          </cell>
        </row>
        <row r="252">
          <cell r="A252" t="str">
            <v>TH-85</v>
          </cell>
          <cell r="D252">
            <v>2016</v>
          </cell>
          <cell r="E252">
            <v>0.25664984099999999</v>
          </cell>
        </row>
        <row r="253">
          <cell r="A253" t="str">
            <v>TH-41</v>
          </cell>
          <cell r="D253">
            <v>2016</v>
          </cell>
          <cell r="E253">
            <v>0.35362903000000001</v>
          </cell>
        </row>
        <row r="254">
          <cell r="A254" t="str">
            <v>TH-47</v>
          </cell>
          <cell r="D254">
            <v>2016</v>
          </cell>
          <cell r="E254">
            <v>0.22332110199999999</v>
          </cell>
        </row>
        <row r="255">
          <cell r="A255" t="str">
            <v>TH-57</v>
          </cell>
          <cell r="D255">
            <v>2016</v>
          </cell>
          <cell r="E255">
            <v>0.33786442799999999</v>
          </cell>
        </row>
        <row r="256">
          <cell r="A256" t="str">
            <v>TH-63</v>
          </cell>
          <cell r="D256">
            <v>2016</v>
          </cell>
          <cell r="E256">
            <v>0.12437983699999999</v>
          </cell>
        </row>
        <row r="257">
          <cell r="A257" t="str">
            <v>TH-14</v>
          </cell>
          <cell r="D257">
            <v>2016</v>
          </cell>
          <cell r="E257">
            <v>3.7045913530000001</v>
          </cell>
        </row>
        <row r="258">
          <cell r="A258" t="str">
            <v>TH-66</v>
          </cell>
          <cell r="D258">
            <v>2016</v>
          </cell>
          <cell r="E258">
            <v>0.38291652599999998</v>
          </cell>
        </row>
        <row r="259">
          <cell r="A259" t="str">
            <v>TH-93</v>
          </cell>
          <cell r="D259">
            <v>2016</v>
          </cell>
          <cell r="E259">
            <v>0.46080335700000002</v>
          </cell>
        </row>
        <row r="260">
          <cell r="A260" t="str">
            <v>TH-82</v>
          </cell>
          <cell r="D260">
            <v>2016</v>
          </cell>
          <cell r="E260">
            <v>0.40064133899999999</v>
          </cell>
        </row>
        <row r="261">
          <cell r="A261" t="str">
            <v>TH-94</v>
          </cell>
          <cell r="D261">
            <v>2016</v>
          </cell>
          <cell r="E261">
            <v>1.237333486</v>
          </cell>
        </row>
        <row r="262">
          <cell r="A262" t="str">
            <v>TH-13</v>
          </cell>
          <cell r="D262">
            <v>2016</v>
          </cell>
          <cell r="E262">
            <v>6.9947957059999997</v>
          </cell>
        </row>
        <row r="263">
          <cell r="A263" t="str">
            <v>TH-80</v>
          </cell>
          <cell r="D263">
            <v>2016</v>
          </cell>
          <cell r="E263">
            <v>0.45531168300000002</v>
          </cell>
        </row>
        <row r="264">
          <cell r="A264" t="str">
            <v>TH-26</v>
          </cell>
          <cell r="D264">
            <v>2016</v>
          </cell>
          <cell r="E264">
            <v>0.72024534699999998</v>
          </cell>
        </row>
        <row r="265">
          <cell r="A265" t="str">
            <v>TH-49</v>
          </cell>
          <cell r="D265">
            <v>2016</v>
          </cell>
          <cell r="E265">
            <v>0.20186631399999999</v>
          </cell>
        </row>
        <row r="266">
          <cell r="A266" t="str">
            <v>TH-16</v>
          </cell>
          <cell r="D266">
            <v>2016</v>
          </cell>
          <cell r="E266">
            <v>0.53876040000000003</v>
          </cell>
        </row>
        <row r="267">
          <cell r="A267" t="str">
            <v>TH-81</v>
          </cell>
          <cell r="D267">
            <v>2016</v>
          </cell>
          <cell r="E267">
            <v>0.41978902899999998</v>
          </cell>
        </row>
        <row r="268">
          <cell r="A268" t="str">
            <v>TH-20</v>
          </cell>
          <cell r="D268">
            <v>2016</v>
          </cell>
          <cell r="E268">
            <v>4.8821488610000001</v>
          </cell>
        </row>
        <row r="269">
          <cell r="A269" t="str">
            <v>TH-50</v>
          </cell>
          <cell r="D269">
            <v>2016</v>
          </cell>
          <cell r="E269">
            <v>0.34322154999999999</v>
          </cell>
        </row>
        <row r="270">
          <cell r="A270" t="str">
            <v>TH-18</v>
          </cell>
          <cell r="D270">
            <v>2016</v>
          </cell>
          <cell r="E270">
            <v>0.66389718099999995</v>
          </cell>
        </row>
        <row r="271">
          <cell r="A271" t="str">
            <v>TH-37</v>
          </cell>
          <cell r="D271">
            <v>2016</v>
          </cell>
          <cell r="E271">
            <v>0.237601435</v>
          </cell>
        </row>
        <row r="272">
          <cell r="A272" t="str">
            <v>TH-74</v>
          </cell>
          <cell r="D272">
            <v>2016</v>
          </cell>
          <cell r="E272">
            <v>6.0404074100000003</v>
          </cell>
        </row>
        <row r="273">
          <cell r="A273" t="str">
            <v>TH-11</v>
          </cell>
          <cell r="D273">
            <v>2016</v>
          </cell>
          <cell r="E273">
            <v>13.6938537</v>
          </cell>
        </row>
        <row r="274">
          <cell r="A274" t="str">
            <v>TH-55</v>
          </cell>
          <cell r="D274">
            <v>2016</v>
          </cell>
          <cell r="E274">
            <v>8.6568228999999997E-2</v>
          </cell>
        </row>
        <row r="275">
          <cell r="A275" t="str">
            <v>TH-22</v>
          </cell>
          <cell r="D275">
            <v>2016</v>
          </cell>
          <cell r="E275">
            <v>0.41330369900000002</v>
          </cell>
        </row>
        <row r="276">
          <cell r="A276" t="str">
            <v>TH-48</v>
          </cell>
          <cell r="D276">
            <v>2016</v>
          </cell>
          <cell r="E276">
            <v>0.32076678600000003</v>
          </cell>
        </row>
        <row r="277">
          <cell r="A277" t="str">
            <v>TH-71</v>
          </cell>
          <cell r="D277">
            <v>2016</v>
          </cell>
          <cell r="E277">
            <v>0.246042592</v>
          </cell>
        </row>
        <row r="278">
          <cell r="A278" t="str">
            <v>TH-58</v>
          </cell>
          <cell r="D278">
            <v>2016</v>
          </cell>
          <cell r="E278">
            <v>2.9488941000000001E-2</v>
          </cell>
        </row>
        <row r="279">
          <cell r="A279" t="str">
            <v>TH-27</v>
          </cell>
          <cell r="D279">
            <v>2016</v>
          </cell>
          <cell r="E279">
            <v>0.309616114</v>
          </cell>
        </row>
        <row r="280">
          <cell r="A280" t="str">
            <v>TH-91</v>
          </cell>
          <cell r="D280">
            <v>2016</v>
          </cell>
          <cell r="E280">
            <v>0.60920674399999997</v>
          </cell>
        </row>
        <row r="281">
          <cell r="A281" t="str">
            <v>TH-73</v>
          </cell>
          <cell r="D281">
            <v>2016</v>
          </cell>
          <cell r="E281">
            <v>3.8898200799999998</v>
          </cell>
        </row>
        <row r="282">
          <cell r="A282" t="str">
            <v>TH-51</v>
          </cell>
          <cell r="D282">
            <v>2016</v>
          </cell>
          <cell r="E282">
            <v>0.462658711</v>
          </cell>
        </row>
        <row r="283">
          <cell r="A283" t="str">
            <v>TH-23</v>
          </cell>
          <cell r="D283">
            <v>2016</v>
          </cell>
          <cell r="E283">
            <v>0.25152224099999998</v>
          </cell>
        </row>
        <row r="284">
          <cell r="A284" t="str">
            <v>TH-70</v>
          </cell>
          <cell r="D284">
            <v>2016</v>
          </cell>
          <cell r="E284">
            <v>1.129760863</v>
          </cell>
        </row>
        <row r="285">
          <cell r="A285" t="str">
            <v>TH-35</v>
          </cell>
          <cell r="D285">
            <v>2016</v>
          </cell>
          <cell r="E285">
            <v>0.27174953000000002</v>
          </cell>
        </row>
        <row r="286">
          <cell r="A286" t="str">
            <v>TH-54</v>
          </cell>
          <cell r="D286">
            <v>2016</v>
          </cell>
          <cell r="E286">
            <v>0.24500544099999999</v>
          </cell>
        </row>
        <row r="287">
          <cell r="A287" t="str">
            <v>TH-95</v>
          </cell>
          <cell r="D287">
            <v>2016</v>
          </cell>
          <cell r="E287">
            <v>0.44015796899999998</v>
          </cell>
        </row>
        <row r="288">
          <cell r="A288" t="str">
            <v>TH-53</v>
          </cell>
          <cell r="D288">
            <v>2016</v>
          </cell>
          <cell r="E288">
            <v>0.214997201</v>
          </cell>
        </row>
        <row r="289">
          <cell r="A289" t="str">
            <v>TH-31</v>
          </cell>
          <cell r="D289">
            <v>2016</v>
          </cell>
          <cell r="E289">
            <v>0.291666447</v>
          </cell>
        </row>
        <row r="290">
          <cell r="A290" t="str">
            <v>TH-62</v>
          </cell>
          <cell r="D290">
            <v>2016</v>
          </cell>
          <cell r="E290">
            <v>0.33823473199999998</v>
          </cell>
        </row>
        <row r="291">
          <cell r="A291" t="str">
            <v>TH-52</v>
          </cell>
          <cell r="D291">
            <v>2016</v>
          </cell>
          <cell r="E291">
            <v>0.23920792199999999</v>
          </cell>
        </row>
        <row r="292">
          <cell r="A292" t="str">
            <v>TH-12</v>
          </cell>
          <cell r="D292">
            <v>2016</v>
          </cell>
          <cell r="E292">
            <v>11.691363109999999</v>
          </cell>
        </row>
        <row r="293">
          <cell r="A293" t="str">
            <v>TH-38</v>
          </cell>
          <cell r="D293">
            <v>2016</v>
          </cell>
          <cell r="E293">
            <v>0.20203085100000001</v>
          </cell>
        </row>
        <row r="294">
          <cell r="A294" t="str">
            <v>TH-96</v>
          </cell>
          <cell r="D294">
            <v>2016</v>
          </cell>
          <cell r="E294">
            <v>0.51497720300000005</v>
          </cell>
        </row>
        <row r="295">
          <cell r="A295" t="str">
            <v>TH-34</v>
          </cell>
          <cell r="D295">
            <v>2016</v>
          </cell>
          <cell r="E295">
            <v>0.248784701</v>
          </cell>
        </row>
        <row r="296">
          <cell r="A296" t="str">
            <v>TH-77</v>
          </cell>
          <cell r="D296">
            <v>2016</v>
          </cell>
          <cell r="E296">
            <v>0.56846428500000001</v>
          </cell>
        </row>
        <row r="297">
          <cell r="A297" t="str">
            <v>TH-90</v>
          </cell>
          <cell r="D297">
            <v>2016</v>
          </cell>
          <cell r="E297">
            <v>1.013269089</v>
          </cell>
        </row>
        <row r="298">
          <cell r="A298" t="str">
            <v>TH-83</v>
          </cell>
          <cell r="D298">
            <v>2016</v>
          </cell>
          <cell r="E298">
            <v>7.6675638900000003</v>
          </cell>
        </row>
        <row r="299">
          <cell r="A299" t="str">
            <v>TH-15</v>
          </cell>
          <cell r="D299">
            <v>2016</v>
          </cell>
          <cell r="E299">
            <v>1.792858007</v>
          </cell>
        </row>
        <row r="300">
          <cell r="A300" t="str">
            <v>TH-44</v>
          </cell>
          <cell r="D300">
            <v>2016</v>
          </cell>
          <cell r="E300">
            <v>0.43860732400000002</v>
          </cell>
        </row>
        <row r="301">
          <cell r="A301" t="str">
            <v>TH-92</v>
          </cell>
          <cell r="D301">
            <v>2016</v>
          </cell>
          <cell r="E301">
            <v>0.52012942399999995</v>
          </cell>
        </row>
        <row r="302">
          <cell r="A302" t="str">
            <v>TH-72</v>
          </cell>
          <cell r="D302">
            <v>2016</v>
          </cell>
          <cell r="E302">
            <v>0.94455315299999998</v>
          </cell>
        </row>
        <row r="303">
          <cell r="A303" t="str">
            <v>TH-17</v>
          </cell>
          <cell r="D303">
            <v>2016</v>
          </cell>
          <cell r="E303">
            <v>1.774522723</v>
          </cell>
        </row>
        <row r="304">
          <cell r="A304" t="str">
            <v>TH-75</v>
          </cell>
          <cell r="D304">
            <v>2016</v>
          </cell>
          <cell r="E304">
            <v>2.8094702169999999</v>
          </cell>
        </row>
        <row r="305">
          <cell r="A305" t="str">
            <v>TH-21</v>
          </cell>
          <cell r="D305">
            <v>2016</v>
          </cell>
          <cell r="E305">
            <v>4.5334843249999999</v>
          </cell>
        </row>
        <row r="306">
          <cell r="A306" t="str">
            <v>TH-25</v>
          </cell>
          <cell r="D306">
            <v>2016</v>
          </cell>
          <cell r="E306">
            <v>0.818390536</v>
          </cell>
        </row>
        <row r="307">
          <cell r="A307" t="str">
            <v>TH-45</v>
          </cell>
          <cell r="D307">
            <v>2016</v>
          </cell>
          <cell r="E307">
            <v>0.317750425</v>
          </cell>
        </row>
        <row r="308">
          <cell r="A308" t="str">
            <v>TH-56</v>
          </cell>
          <cell r="D308">
            <v>2016</v>
          </cell>
          <cell r="E308">
            <v>0.17467058599999999</v>
          </cell>
        </row>
        <row r="309">
          <cell r="A309" t="str">
            <v>TH-60</v>
          </cell>
          <cell r="D309">
            <v>2016</v>
          </cell>
          <cell r="E309">
            <v>0.41027951000000001</v>
          </cell>
        </row>
        <row r="310">
          <cell r="A310" t="str">
            <v>TH-39</v>
          </cell>
          <cell r="D310">
            <v>2017</v>
          </cell>
          <cell r="E310">
            <v>0.34395536999999998</v>
          </cell>
        </row>
        <row r="311">
          <cell r="A311" t="str">
            <v>TH-24</v>
          </cell>
          <cell r="D311">
            <v>2017</v>
          </cell>
          <cell r="E311">
            <v>1.3646025660000001</v>
          </cell>
        </row>
        <row r="312">
          <cell r="A312" t="str">
            <v>TH-32</v>
          </cell>
          <cell r="D312">
            <v>2017</v>
          </cell>
          <cell r="E312">
            <v>0.33030452799999999</v>
          </cell>
        </row>
        <row r="313">
          <cell r="A313" t="str">
            <v>TH-30</v>
          </cell>
          <cell r="D313">
            <v>2017</v>
          </cell>
          <cell r="E313">
            <v>0.60246327300000002</v>
          </cell>
        </row>
        <row r="314">
          <cell r="A314" t="str">
            <v>TH-64</v>
          </cell>
          <cell r="D314">
            <v>2017</v>
          </cell>
          <cell r="E314">
            <v>0.38593465100000002</v>
          </cell>
        </row>
        <row r="315">
          <cell r="A315" t="str">
            <v>TH-76</v>
          </cell>
          <cell r="D315">
            <v>2017</v>
          </cell>
          <cell r="E315">
            <v>0.948266206</v>
          </cell>
        </row>
        <row r="316">
          <cell r="A316" t="str">
            <v>TH-36</v>
          </cell>
          <cell r="D316">
            <v>2017</v>
          </cell>
          <cell r="E316">
            <v>0.292649557</v>
          </cell>
        </row>
        <row r="317">
          <cell r="A317" t="str">
            <v>TH-67</v>
          </cell>
          <cell r="D317">
            <v>2017</v>
          </cell>
          <cell r="E317">
            <v>0.29489048699999998</v>
          </cell>
        </row>
        <row r="318">
          <cell r="A318" t="str">
            <v>TH-84</v>
          </cell>
          <cell r="D318">
            <v>2017</v>
          </cell>
          <cell r="E318">
            <v>0.43392273999999997</v>
          </cell>
        </row>
        <row r="319">
          <cell r="A319" t="str">
            <v>TH-33</v>
          </cell>
          <cell r="D319">
            <v>2017</v>
          </cell>
          <cell r="E319">
            <v>0.30165589500000001</v>
          </cell>
        </row>
        <row r="320">
          <cell r="A320" t="str">
            <v>TH-43</v>
          </cell>
          <cell r="D320">
            <v>2017</v>
          </cell>
          <cell r="E320">
            <v>0.657065393</v>
          </cell>
        </row>
        <row r="321">
          <cell r="A321" t="str">
            <v>TH-10</v>
          </cell>
          <cell r="D321">
            <v>2017</v>
          </cell>
          <cell r="E321">
            <v>21.210628750000001</v>
          </cell>
        </row>
        <row r="322">
          <cell r="A322" t="str">
            <v>TH-40</v>
          </cell>
          <cell r="D322">
            <v>2017</v>
          </cell>
          <cell r="E322">
            <v>0.71314555300000004</v>
          </cell>
        </row>
        <row r="323">
          <cell r="A323" t="str">
            <v>TH-42</v>
          </cell>
          <cell r="D323">
            <v>2017</v>
          </cell>
          <cell r="E323">
            <v>0.19651616999999999</v>
          </cell>
        </row>
        <row r="324">
          <cell r="A324" t="str">
            <v>TH-19</v>
          </cell>
          <cell r="D324">
            <v>2017</v>
          </cell>
          <cell r="E324">
            <v>2.3453567870000001</v>
          </cell>
        </row>
        <row r="325">
          <cell r="A325" t="str">
            <v>TH-61</v>
          </cell>
          <cell r="D325">
            <v>2017</v>
          </cell>
          <cell r="E325">
            <v>0.25667601699999998</v>
          </cell>
        </row>
        <row r="326">
          <cell r="A326" t="str">
            <v>TH-86</v>
          </cell>
          <cell r="D326">
            <v>2017</v>
          </cell>
          <cell r="E326">
            <v>0.43986372000000001</v>
          </cell>
        </row>
        <row r="327">
          <cell r="A327" t="str">
            <v>TH-46</v>
          </cell>
          <cell r="D327">
            <v>2017</v>
          </cell>
          <cell r="E327">
            <v>0.52644339799999995</v>
          </cell>
        </row>
        <row r="328">
          <cell r="A328" t="str">
            <v>TH-65</v>
          </cell>
          <cell r="D328">
            <v>2017</v>
          </cell>
          <cell r="E328">
            <v>0.42726553900000003</v>
          </cell>
        </row>
        <row r="329">
          <cell r="A329" t="str">
            <v>TH-85</v>
          </cell>
          <cell r="D329">
            <v>2017</v>
          </cell>
          <cell r="E329">
            <v>0.32437380599999999</v>
          </cell>
        </row>
        <row r="330">
          <cell r="A330" t="str">
            <v>TH-41</v>
          </cell>
          <cell r="D330">
            <v>2017</v>
          </cell>
          <cell r="E330">
            <v>0.46363163699999999</v>
          </cell>
        </row>
        <row r="331">
          <cell r="A331" t="str">
            <v>TH-47</v>
          </cell>
          <cell r="D331">
            <v>2017</v>
          </cell>
          <cell r="E331">
            <v>0.33743616199999998</v>
          </cell>
        </row>
        <row r="332">
          <cell r="A332" t="str">
            <v>TH-57</v>
          </cell>
          <cell r="D332">
            <v>2017</v>
          </cell>
          <cell r="E332">
            <v>0.43095897700000002</v>
          </cell>
        </row>
        <row r="333">
          <cell r="A333" t="str">
            <v>TH-63</v>
          </cell>
          <cell r="D333">
            <v>2017</v>
          </cell>
          <cell r="E333">
            <v>0.160381354</v>
          </cell>
        </row>
        <row r="334">
          <cell r="A334" t="str">
            <v>TH-14</v>
          </cell>
          <cell r="D334">
            <v>2017</v>
          </cell>
          <cell r="E334">
            <v>3.9046342780000001</v>
          </cell>
        </row>
        <row r="335">
          <cell r="A335" t="str">
            <v>TH-66</v>
          </cell>
          <cell r="D335">
            <v>2017</v>
          </cell>
          <cell r="E335">
            <v>0.50674311900000002</v>
          </cell>
        </row>
        <row r="336">
          <cell r="A336" t="str">
            <v>TH-93</v>
          </cell>
          <cell r="D336">
            <v>2017</v>
          </cell>
          <cell r="E336">
            <v>0.55198889600000001</v>
          </cell>
        </row>
        <row r="337">
          <cell r="A337" t="str">
            <v>TH-82</v>
          </cell>
          <cell r="D337">
            <v>2017</v>
          </cell>
          <cell r="E337">
            <v>0.45730913699999998</v>
          </cell>
        </row>
        <row r="338">
          <cell r="A338" t="str">
            <v>TH-94</v>
          </cell>
          <cell r="D338">
            <v>2017</v>
          </cell>
          <cell r="E338">
            <v>1.409657618</v>
          </cell>
        </row>
        <row r="339">
          <cell r="A339" t="str">
            <v>TH-13</v>
          </cell>
          <cell r="D339">
            <v>2017</v>
          </cell>
          <cell r="E339">
            <v>7.5024285920000002</v>
          </cell>
        </row>
        <row r="340">
          <cell r="A340" t="str">
            <v>TH-80</v>
          </cell>
          <cell r="D340">
            <v>2017</v>
          </cell>
          <cell r="E340">
            <v>0.52446035199999996</v>
          </cell>
        </row>
        <row r="341">
          <cell r="A341" t="str">
            <v>TH-26</v>
          </cell>
          <cell r="D341">
            <v>2017</v>
          </cell>
          <cell r="E341">
            <v>0.91967909299999995</v>
          </cell>
        </row>
        <row r="342">
          <cell r="A342" t="str">
            <v>TH-49</v>
          </cell>
          <cell r="D342">
            <v>2017</v>
          </cell>
          <cell r="E342">
            <v>0.27951142299999998</v>
          </cell>
        </row>
        <row r="343">
          <cell r="A343" t="str">
            <v>TH-16</v>
          </cell>
          <cell r="D343">
            <v>2017</v>
          </cell>
          <cell r="E343">
            <v>0.67326340799999995</v>
          </cell>
        </row>
        <row r="344">
          <cell r="A344" t="str">
            <v>TH-81</v>
          </cell>
          <cell r="D344">
            <v>2017</v>
          </cell>
          <cell r="E344">
            <v>0.55762419200000002</v>
          </cell>
        </row>
        <row r="345">
          <cell r="A345" t="str">
            <v>TH-20</v>
          </cell>
          <cell r="D345">
            <v>2017</v>
          </cell>
          <cell r="E345">
            <v>5.2886606430000001</v>
          </cell>
        </row>
        <row r="346">
          <cell r="A346" t="str">
            <v>TH-50</v>
          </cell>
          <cell r="D346">
            <v>2017</v>
          </cell>
          <cell r="E346">
            <v>0.39784870900000002</v>
          </cell>
        </row>
        <row r="347">
          <cell r="A347" t="str">
            <v>TH-18</v>
          </cell>
          <cell r="D347">
            <v>2017</v>
          </cell>
          <cell r="E347">
            <v>0.838076877</v>
          </cell>
        </row>
        <row r="348">
          <cell r="A348" t="str">
            <v>TH-37</v>
          </cell>
          <cell r="D348">
            <v>2017</v>
          </cell>
          <cell r="E348">
            <v>0.360257669</v>
          </cell>
        </row>
        <row r="349">
          <cell r="A349" t="str">
            <v>TH-74</v>
          </cell>
          <cell r="D349">
            <v>2017</v>
          </cell>
          <cell r="E349">
            <v>6.4514768949999999</v>
          </cell>
        </row>
        <row r="350">
          <cell r="A350" t="str">
            <v>TH-11</v>
          </cell>
          <cell r="D350">
            <v>2017</v>
          </cell>
          <cell r="E350">
            <v>14.36760222</v>
          </cell>
        </row>
        <row r="351">
          <cell r="A351" t="str">
            <v>TH-55</v>
          </cell>
          <cell r="D351">
            <v>2017</v>
          </cell>
          <cell r="E351">
            <v>0.11935399300000001</v>
          </cell>
        </row>
        <row r="352">
          <cell r="A352" t="str">
            <v>TH-22</v>
          </cell>
          <cell r="D352">
            <v>2017</v>
          </cell>
          <cell r="E352">
            <v>0.48505154700000003</v>
          </cell>
        </row>
        <row r="353">
          <cell r="A353" t="str">
            <v>TH-48</v>
          </cell>
          <cell r="D353">
            <v>2017</v>
          </cell>
          <cell r="E353">
            <v>0.45180460099999997</v>
          </cell>
        </row>
        <row r="354">
          <cell r="A354" t="str">
            <v>TH-71</v>
          </cell>
          <cell r="D354">
            <v>2017</v>
          </cell>
          <cell r="E354">
            <v>0.28991466700000001</v>
          </cell>
        </row>
        <row r="355">
          <cell r="A355" t="str">
            <v>TH-58</v>
          </cell>
          <cell r="D355">
            <v>2017</v>
          </cell>
          <cell r="E355">
            <v>3.9384990000000002E-2</v>
          </cell>
        </row>
        <row r="356">
          <cell r="A356" t="str">
            <v>TH-27</v>
          </cell>
          <cell r="D356">
            <v>2017</v>
          </cell>
          <cell r="E356">
            <v>0.358757039</v>
          </cell>
        </row>
        <row r="357">
          <cell r="A357" t="str">
            <v>TH-91</v>
          </cell>
          <cell r="D357">
            <v>2017</v>
          </cell>
          <cell r="E357">
            <v>0.72569224499999996</v>
          </cell>
        </row>
        <row r="358">
          <cell r="A358" t="str">
            <v>TH-73</v>
          </cell>
          <cell r="D358">
            <v>2017</v>
          </cell>
          <cell r="E358">
            <v>4.2211430959999996</v>
          </cell>
        </row>
        <row r="359">
          <cell r="A359" t="str">
            <v>TH-51</v>
          </cell>
          <cell r="D359">
            <v>2017</v>
          </cell>
          <cell r="E359">
            <v>0.55032873800000004</v>
          </cell>
        </row>
        <row r="360">
          <cell r="A360" t="str">
            <v>TH-23</v>
          </cell>
          <cell r="D360">
            <v>2017</v>
          </cell>
          <cell r="E360">
            <v>0.32315301299999999</v>
          </cell>
        </row>
        <row r="361">
          <cell r="A361" t="str">
            <v>TH-70</v>
          </cell>
          <cell r="D361">
            <v>2017</v>
          </cell>
          <cell r="E361">
            <v>1.24947853</v>
          </cell>
        </row>
        <row r="362">
          <cell r="A362" t="str">
            <v>TH-35</v>
          </cell>
          <cell r="D362">
            <v>2017</v>
          </cell>
          <cell r="E362">
            <v>0.38760344800000002</v>
          </cell>
        </row>
        <row r="363">
          <cell r="A363" t="str">
            <v>TH-54</v>
          </cell>
          <cell r="D363">
            <v>2017</v>
          </cell>
          <cell r="E363">
            <v>0.31829513399999998</v>
          </cell>
        </row>
        <row r="364">
          <cell r="A364" t="str">
            <v>TH-95</v>
          </cell>
          <cell r="D364">
            <v>2017</v>
          </cell>
          <cell r="E364">
            <v>0.50575877300000005</v>
          </cell>
        </row>
        <row r="365">
          <cell r="A365" t="str">
            <v>TH-53</v>
          </cell>
          <cell r="D365">
            <v>2017</v>
          </cell>
          <cell r="E365">
            <v>0.28964474400000001</v>
          </cell>
        </row>
        <row r="366">
          <cell r="A366" t="str">
            <v>TH-31</v>
          </cell>
          <cell r="D366">
            <v>2017</v>
          </cell>
          <cell r="E366">
            <v>0.38154178999999999</v>
          </cell>
        </row>
        <row r="367">
          <cell r="A367" t="str">
            <v>TH-62</v>
          </cell>
          <cell r="D367">
            <v>2017</v>
          </cell>
          <cell r="E367">
            <v>0.43202168200000002</v>
          </cell>
        </row>
        <row r="368">
          <cell r="A368" t="str">
            <v>TH-52</v>
          </cell>
          <cell r="D368">
            <v>2017</v>
          </cell>
          <cell r="E368">
            <v>0.312156082</v>
          </cell>
        </row>
        <row r="369">
          <cell r="A369" t="str">
            <v>TH-12</v>
          </cell>
          <cell r="D369">
            <v>2017</v>
          </cell>
          <cell r="E369">
            <v>12.04697022</v>
          </cell>
        </row>
        <row r="370">
          <cell r="A370" t="str">
            <v>TH-38</v>
          </cell>
          <cell r="D370">
            <v>2017</v>
          </cell>
          <cell r="E370">
            <v>0.31743253199999999</v>
          </cell>
        </row>
        <row r="371">
          <cell r="A371" t="str">
            <v>TH-96</v>
          </cell>
          <cell r="D371">
            <v>2017</v>
          </cell>
          <cell r="E371">
            <v>0.58933240899999995</v>
          </cell>
        </row>
        <row r="372">
          <cell r="A372" t="str">
            <v>TH-34</v>
          </cell>
          <cell r="D372">
            <v>2017</v>
          </cell>
          <cell r="E372">
            <v>0.33783542500000002</v>
          </cell>
        </row>
        <row r="373">
          <cell r="A373" t="str">
            <v>TH-77</v>
          </cell>
          <cell r="D373">
            <v>2017</v>
          </cell>
          <cell r="E373">
            <v>0.65941981100000002</v>
          </cell>
        </row>
        <row r="374">
          <cell r="A374" t="str">
            <v>TH-90</v>
          </cell>
          <cell r="D374">
            <v>2017</v>
          </cell>
          <cell r="E374">
            <v>1.1560888469999999</v>
          </cell>
        </row>
        <row r="375">
          <cell r="A375" t="str">
            <v>TH-83</v>
          </cell>
          <cell r="D375">
            <v>2017</v>
          </cell>
          <cell r="E375">
            <v>8.2848212720000003</v>
          </cell>
        </row>
        <row r="376">
          <cell r="A376" t="str">
            <v>TH-15</v>
          </cell>
          <cell r="D376">
            <v>2017</v>
          </cell>
          <cell r="E376">
            <v>2.0973486459999999</v>
          </cell>
        </row>
        <row r="377">
          <cell r="A377" t="str">
            <v>TH-44</v>
          </cell>
          <cell r="D377">
            <v>2017</v>
          </cell>
          <cell r="E377">
            <v>0.59062492</v>
          </cell>
        </row>
        <row r="378">
          <cell r="A378" t="str">
            <v>TH-92</v>
          </cell>
          <cell r="D378">
            <v>2017</v>
          </cell>
          <cell r="E378">
            <v>0.63533108400000005</v>
          </cell>
        </row>
        <row r="379">
          <cell r="A379" t="str">
            <v>TH-72</v>
          </cell>
          <cell r="D379">
            <v>2017</v>
          </cell>
          <cell r="E379">
            <v>1.110003104</v>
          </cell>
        </row>
        <row r="380">
          <cell r="A380" t="str">
            <v>TH-17</v>
          </cell>
          <cell r="D380">
            <v>2017</v>
          </cell>
          <cell r="E380">
            <v>2.018878452</v>
          </cell>
        </row>
        <row r="381">
          <cell r="A381" t="str">
            <v>TH-75</v>
          </cell>
          <cell r="D381">
            <v>2017</v>
          </cell>
          <cell r="E381">
            <v>3.5312231600000001</v>
          </cell>
        </row>
        <row r="382">
          <cell r="A382" t="str">
            <v>TH-21</v>
          </cell>
          <cell r="D382">
            <v>2017</v>
          </cell>
          <cell r="E382">
            <v>4.9130933179999996</v>
          </cell>
        </row>
        <row r="383">
          <cell r="A383" t="str">
            <v>TH-25</v>
          </cell>
          <cell r="D383">
            <v>2017</v>
          </cell>
          <cell r="E383">
            <v>0.93189720799999998</v>
          </cell>
        </row>
        <row r="384">
          <cell r="A384" t="str">
            <v>TH-45</v>
          </cell>
          <cell r="D384">
            <v>2017</v>
          </cell>
          <cell r="E384">
            <v>0.47267680699999998</v>
          </cell>
        </row>
        <row r="385">
          <cell r="A385" t="str">
            <v>TH-56</v>
          </cell>
          <cell r="D385">
            <v>2017</v>
          </cell>
          <cell r="E385">
            <v>0.249057944</v>
          </cell>
        </row>
        <row r="386">
          <cell r="A386" t="str">
            <v>TH-60</v>
          </cell>
          <cell r="D386">
            <v>2017</v>
          </cell>
          <cell r="E386">
            <v>0.506002646</v>
          </cell>
        </row>
        <row r="387">
          <cell r="A387" t="str">
            <v>TH-39</v>
          </cell>
          <cell r="D387">
            <v>2018</v>
          </cell>
          <cell r="E387">
            <v>0.36256153000000002</v>
          </cell>
        </row>
        <row r="388">
          <cell r="A388" t="str">
            <v>TH-24</v>
          </cell>
          <cell r="D388">
            <v>2018</v>
          </cell>
          <cell r="E388">
            <v>1.3654062090000001</v>
          </cell>
        </row>
        <row r="389">
          <cell r="A389" t="str">
            <v>TH-32</v>
          </cell>
          <cell r="D389">
            <v>2018</v>
          </cell>
          <cell r="E389">
            <v>0.37666044100000001</v>
          </cell>
        </row>
        <row r="390">
          <cell r="A390" t="str">
            <v>TH-30</v>
          </cell>
          <cell r="D390">
            <v>2018</v>
          </cell>
          <cell r="E390">
            <v>0.63100090799999997</v>
          </cell>
        </row>
        <row r="391">
          <cell r="A391" t="str">
            <v>TH-64</v>
          </cell>
          <cell r="D391">
            <v>2018</v>
          </cell>
          <cell r="E391">
            <v>0.360283778</v>
          </cell>
        </row>
        <row r="392">
          <cell r="A392" t="str">
            <v>TH-76</v>
          </cell>
          <cell r="D392">
            <v>2018</v>
          </cell>
          <cell r="E392">
            <v>1.000220702</v>
          </cell>
        </row>
        <row r="393">
          <cell r="A393" t="str">
            <v>TH-36</v>
          </cell>
          <cell r="D393">
            <v>2018</v>
          </cell>
          <cell r="E393">
            <v>0.310305475</v>
          </cell>
        </row>
        <row r="394">
          <cell r="A394" t="str">
            <v>TH-67</v>
          </cell>
          <cell r="D394">
            <v>2018</v>
          </cell>
          <cell r="E394">
            <v>0.31326145999999999</v>
          </cell>
        </row>
        <row r="395">
          <cell r="A395" t="str">
            <v>TH-84</v>
          </cell>
          <cell r="D395">
            <v>2018</v>
          </cell>
          <cell r="E395">
            <v>0.46794823000000002</v>
          </cell>
        </row>
        <row r="396">
          <cell r="A396" t="str">
            <v>TH-33</v>
          </cell>
          <cell r="D396">
            <v>2018</v>
          </cell>
          <cell r="E396">
            <v>0.33999623000000001</v>
          </cell>
        </row>
        <row r="397">
          <cell r="A397" t="str">
            <v>TH-43</v>
          </cell>
          <cell r="D397">
            <v>2018</v>
          </cell>
          <cell r="E397">
            <v>0.72583612099999995</v>
          </cell>
        </row>
        <row r="398">
          <cell r="A398" t="str">
            <v>TH-10</v>
          </cell>
          <cell r="D398">
            <v>2018</v>
          </cell>
          <cell r="E398">
            <v>22.107850060000001</v>
          </cell>
        </row>
        <row r="399">
          <cell r="A399" t="str">
            <v>TH-40</v>
          </cell>
          <cell r="D399">
            <v>2018</v>
          </cell>
          <cell r="E399">
            <v>0.77262587699999996</v>
          </cell>
        </row>
        <row r="400">
          <cell r="A400" t="str">
            <v>TH-42</v>
          </cell>
          <cell r="D400">
            <v>2018</v>
          </cell>
          <cell r="E400">
            <v>0.21581104500000001</v>
          </cell>
        </row>
        <row r="401">
          <cell r="A401" t="str">
            <v>TH-19</v>
          </cell>
          <cell r="D401">
            <v>2018</v>
          </cell>
          <cell r="E401">
            <v>2.2608242359999999</v>
          </cell>
        </row>
        <row r="402">
          <cell r="A402" t="str">
            <v>TH-61</v>
          </cell>
          <cell r="D402">
            <v>2018</v>
          </cell>
          <cell r="E402">
            <v>0.26011338899999997</v>
          </cell>
        </row>
        <row r="403">
          <cell r="A403" t="str">
            <v>TH-86</v>
          </cell>
          <cell r="D403">
            <v>2018</v>
          </cell>
          <cell r="E403">
            <v>0.47802721300000001</v>
          </cell>
        </row>
        <row r="404">
          <cell r="A404" t="str">
            <v>TH-46</v>
          </cell>
          <cell r="D404">
            <v>2018</v>
          </cell>
          <cell r="E404">
            <v>0.53282479999999999</v>
          </cell>
        </row>
        <row r="405">
          <cell r="A405" t="str">
            <v>TH-65</v>
          </cell>
          <cell r="D405">
            <v>2018</v>
          </cell>
          <cell r="E405">
            <v>0.43633551799999998</v>
          </cell>
        </row>
        <row r="406">
          <cell r="A406" t="str">
            <v>TH-85</v>
          </cell>
          <cell r="D406">
            <v>2018</v>
          </cell>
          <cell r="E406">
            <v>0.352138917</v>
          </cell>
        </row>
        <row r="407">
          <cell r="A407" t="str">
            <v>TH-41</v>
          </cell>
          <cell r="D407">
            <v>2018</v>
          </cell>
          <cell r="E407">
            <v>0.49217647399999997</v>
          </cell>
        </row>
        <row r="408">
          <cell r="A408" t="str">
            <v>TH-47</v>
          </cell>
          <cell r="D408">
            <v>2018</v>
          </cell>
          <cell r="E408">
            <v>0.34553719599999999</v>
          </cell>
        </row>
        <row r="409">
          <cell r="A409" t="str">
            <v>TH-57</v>
          </cell>
          <cell r="D409">
            <v>2018</v>
          </cell>
          <cell r="E409">
            <v>0.44810172700000001</v>
          </cell>
        </row>
        <row r="410">
          <cell r="A410" t="str">
            <v>TH-63</v>
          </cell>
          <cell r="D410">
            <v>2018</v>
          </cell>
          <cell r="E410">
            <v>0.18145989700000001</v>
          </cell>
        </row>
        <row r="411">
          <cell r="A411" t="str">
            <v>TH-14</v>
          </cell>
          <cell r="D411">
            <v>2018</v>
          </cell>
          <cell r="E411">
            <v>3.909194158</v>
          </cell>
        </row>
        <row r="412">
          <cell r="A412" t="str">
            <v>TH-66</v>
          </cell>
          <cell r="D412">
            <v>2018</v>
          </cell>
          <cell r="E412">
            <v>0.53595196099999998</v>
          </cell>
        </row>
        <row r="413">
          <cell r="A413" t="str">
            <v>TH-93</v>
          </cell>
          <cell r="D413">
            <v>2018</v>
          </cell>
          <cell r="E413">
            <v>0.64770931300000001</v>
          </cell>
        </row>
        <row r="414">
          <cell r="A414" t="str">
            <v>TH-82</v>
          </cell>
          <cell r="D414">
            <v>2018</v>
          </cell>
          <cell r="E414">
            <v>0.472645906</v>
          </cell>
        </row>
        <row r="415">
          <cell r="A415" t="str">
            <v>TH-94</v>
          </cell>
          <cell r="D415">
            <v>2018</v>
          </cell>
          <cell r="E415">
            <v>1.5556047799999999</v>
          </cell>
        </row>
        <row r="416">
          <cell r="A416" t="str">
            <v>TH-13</v>
          </cell>
          <cell r="D416">
            <v>2018</v>
          </cell>
          <cell r="E416">
            <v>7.879068008</v>
          </cell>
        </row>
        <row r="417">
          <cell r="A417" t="str">
            <v>TH-80</v>
          </cell>
          <cell r="D417">
            <v>2018</v>
          </cell>
          <cell r="E417">
            <v>0.54967421000000005</v>
          </cell>
        </row>
        <row r="418">
          <cell r="A418" t="str">
            <v>TH-26</v>
          </cell>
          <cell r="D418">
            <v>2018</v>
          </cell>
          <cell r="E418">
            <v>0.950644237</v>
          </cell>
        </row>
        <row r="419">
          <cell r="A419" t="str">
            <v>TH-49</v>
          </cell>
          <cell r="D419">
            <v>2018</v>
          </cell>
          <cell r="E419">
            <v>0.32500981899999998</v>
          </cell>
        </row>
        <row r="420">
          <cell r="A420" t="str">
            <v>TH-16</v>
          </cell>
          <cell r="D420">
            <v>2018</v>
          </cell>
          <cell r="E420">
            <v>0.64175610699999996</v>
          </cell>
        </row>
        <row r="421">
          <cell r="A421" t="str">
            <v>TH-81</v>
          </cell>
          <cell r="D421">
            <v>2018</v>
          </cell>
          <cell r="E421">
            <v>0.57933481600000003</v>
          </cell>
        </row>
        <row r="422">
          <cell r="A422" t="str">
            <v>TH-20</v>
          </cell>
          <cell r="D422">
            <v>2018</v>
          </cell>
          <cell r="E422">
            <v>5.4333634259999997</v>
          </cell>
        </row>
        <row r="423">
          <cell r="A423" t="str">
            <v>TH-50</v>
          </cell>
          <cell r="D423">
            <v>2018</v>
          </cell>
          <cell r="E423">
            <v>0.42032889800000001</v>
          </cell>
        </row>
        <row r="424">
          <cell r="A424" t="str">
            <v>TH-18</v>
          </cell>
          <cell r="D424">
            <v>2018</v>
          </cell>
          <cell r="E424">
            <v>0.90219265800000004</v>
          </cell>
        </row>
        <row r="425">
          <cell r="A425" t="str">
            <v>TH-37</v>
          </cell>
          <cell r="D425">
            <v>2018</v>
          </cell>
          <cell r="E425">
            <v>0.38910871400000002</v>
          </cell>
        </row>
        <row r="426">
          <cell r="A426" t="str">
            <v>TH-74</v>
          </cell>
          <cell r="D426">
            <v>2018</v>
          </cell>
          <cell r="E426">
            <v>6.6510678580000002</v>
          </cell>
        </row>
        <row r="427">
          <cell r="A427" t="str">
            <v>TH-11</v>
          </cell>
          <cell r="D427">
            <v>2018</v>
          </cell>
          <cell r="E427">
            <v>14.86373706</v>
          </cell>
        </row>
        <row r="428">
          <cell r="A428" t="str">
            <v>TH-55</v>
          </cell>
          <cell r="D428">
            <v>2018</v>
          </cell>
          <cell r="E428">
            <v>0.12305171099999999</v>
          </cell>
        </row>
        <row r="429">
          <cell r="A429" t="str">
            <v>TH-22</v>
          </cell>
          <cell r="D429">
            <v>2018</v>
          </cell>
          <cell r="E429">
            <v>0.53241802900000001</v>
          </cell>
        </row>
        <row r="430">
          <cell r="A430" t="str">
            <v>TH-48</v>
          </cell>
          <cell r="D430">
            <v>2018</v>
          </cell>
          <cell r="E430">
            <v>0.46187694400000001</v>
          </cell>
        </row>
        <row r="431">
          <cell r="A431" t="str">
            <v>TH-71</v>
          </cell>
          <cell r="D431">
            <v>2018</v>
          </cell>
          <cell r="E431">
            <v>0.29488899299999999</v>
          </cell>
        </row>
        <row r="432">
          <cell r="A432" t="str">
            <v>TH-58</v>
          </cell>
          <cell r="D432">
            <v>2018</v>
          </cell>
          <cell r="E432">
            <v>4.2034156000000003E-2</v>
          </cell>
        </row>
        <row r="433">
          <cell r="A433" t="str">
            <v>TH-27</v>
          </cell>
          <cell r="D433">
            <v>2018</v>
          </cell>
          <cell r="E433">
            <v>0.40941209000000001</v>
          </cell>
        </row>
        <row r="434">
          <cell r="A434" t="str">
            <v>TH-91</v>
          </cell>
          <cell r="D434">
            <v>2018</v>
          </cell>
          <cell r="E434">
            <v>0.79830847199999999</v>
          </cell>
        </row>
        <row r="435">
          <cell r="A435" t="str">
            <v>TH-73</v>
          </cell>
          <cell r="D435">
            <v>2018</v>
          </cell>
          <cell r="E435">
            <v>4.3611440320000003</v>
          </cell>
        </row>
        <row r="436">
          <cell r="A436" t="str">
            <v>TH-51</v>
          </cell>
          <cell r="D436">
            <v>2018</v>
          </cell>
          <cell r="E436">
            <v>0.58741910200000003</v>
          </cell>
        </row>
        <row r="437">
          <cell r="A437" t="str">
            <v>TH-23</v>
          </cell>
          <cell r="D437">
            <v>2018</v>
          </cell>
          <cell r="E437">
            <v>0.35247077300000001</v>
          </cell>
        </row>
        <row r="438">
          <cell r="A438" t="str">
            <v>TH-70</v>
          </cell>
          <cell r="D438">
            <v>2018</v>
          </cell>
          <cell r="E438">
            <v>1.311385427</v>
          </cell>
        </row>
        <row r="439">
          <cell r="A439" t="str">
            <v>TH-35</v>
          </cell>
          <cell r="D439">
            <v>2018</v>
          </cell>
          <cell r="E439">
            <v>0.39665392799999999</v>
          </cell>
        </row>
        <row r="440">
          <cell r="A440" t="str">
            <v>TH-54</v>
          </cell>
          <cell r="D440">
            <v>2018</v>
          </cell>
          <cell r="E440">
            <v>0.33502496599999998</v>
          </cell>
        </row>
        <row r="441">
          <cell r="A441" t="str">
            <v>TH-95</v>
          </cell>
          <cell r="D441">
            <v>2018</v>
          </cell>
          <cell r="E441">
            <v>0.56501555699999995</v>
          </cell>
        </row>
        <row r="442">
          <cell r="A442" t="str">
            <v>TH-53</v>
          </cell>
          <cell r="D442">
            <v>2018</v>
          </cell>
          <cell r="E442">
            <v>0.29003233499999997</v>
          </cell>
        </row>
        <row r="443">
          <cell r="A443" t="str">
            <v>TH-31</v>
          </cell>
          <cell r="D443">
            <v>2018</v>
          </cell>
          <cell r="E443">
            <v>0.422737325</v>
          </cell>
        </row>
        <row r="444">
          <cell r="A444" t="str">
            <v>TH-62</v>
          </cell>
          <cell r="D444">
            <v>2018</v>
          </cell>
          <cell r="E444">
            <v>0.44196837500000002</v>
          </cell>
        </row>
        <row r="445">
          <cell r="A445" t="str">
            <v>TH-52</v>
          </cell>
          <cell r="D445">
            <v>2018</v>
          </cell>
          <cell r="E445">
            <v>0.33846585899999998</v>
          </cell>
        </row>
        <row r="446">
          <cell r="A446" t="str">
            <v>TH-12</v>
          </cell>
          <cell r="D446">
            <v>2018</v>
          </cell>
          <cell r="E446">
            <v>12.48955832</v>
          </cell>
        </row>
        <row r="447">
          <cell r="A447" t="str">
            <v>TH-38</v>
          </cell>
          <cell r="D447">
            <v>2018</v>
          </cell>
          <cell r="E447">
            <v>0.334123848</v>
          </cell>
        </row>
        <row r="448">
          <cell r="A448" t="str">
            <v>TH-96</v>
          </cell>
          <cell r="D448">
            <v>2018</v>
          </cell>
          <cell r="E448">
            <v>0.65005469100000002</v>
          </cell>
        </row>
        <row r="449">
          <cell r="A449" t="str">
            <v>TH-34</v>
          </cell>
          <cell r="D449">
            <v>2018</v>
          </cell>
          <cell r="E449">
            <v>0.34801558500000002</v>
          </cell>
        </row>
        <row r="450">
          <cell r="A450" t="str">
            <v>TH-77</v>
          </cell>
          <cell r="D450">
            <v>2018</v>
          </cell>
          <cell r="E450">
            <v>0.71370031700000003</v>
          </cell>
        </row>
        <row r="451">
          <cell r="A451" t="str">
            <v>TH-90</v>
          </cell>
          <cell r="D451">
            <v>2018</v>
          </cell>
          <cell r="E451">
            <v>1.245076968</v>
          </cell>
        </row>
        <row r="452">
          <cell r="A452" t="str">
            <v>TH-83</v>
          </cell>
          <cell r="D452">
            <v>2018</v>
          </cell>
          <cell r="E452">
            <v>8.3709700199999997</v>
          </cell>
        </row>
        <row r="453">
          <cell r="A453" t="str">
            <v>TH-15</v>
          </cell>
          <cell r="D453">
            <v>2018</v>
          </cell>
          <cell r="E453">
            <v>2.192466944</v>
          </cell>
        </row>
        <row r="454">
          <cell r="A454" t="str">
            <v>TH-44</v>
          </cell>
          <cell r="D454">
            <v>2018</v>
          </cell>
          <cell r="E454">
            <v>0.64996907199999998</v>
          </cell>
        </row>
        <row r="455">
          <cell r="A455" t="str">
            <v>TH-92</v>
          </cell>
          <cell r="D455">
            <v>2018</v>
          </cell>
          <cell r="E455">
            <v>0.70334288899999997</v>
          </cell>
        </row>
        <row r="456">
          <cell r="A456" t="str">
            <v>TH-72</v>
          </cell>
          <cell r="D456">
            <v>2018</v>
          </cell>
          <cell r="E456">
            <v>1.1409578440000001</v>
          </cell>
        </row>
        <row r="457">
          <cell r="A457" t="str">
            <v>TH-17</v>
          </cell>
          <cell r="D457">
            <v>2018</v>
          </cell>
          <cell r="E457">
            <v>2.1327537599999999</v>
          </cell>
        </row>
        <row r="458">
          <cell r="A458" t="str">
            <v>TH-75</v>
          </cell>
          <cell r="D458">
            <v>2018</v>
          </cell>
          <cell r="E458">
            <v>4.1432238019999996</v>
          </cell>
        </row>
        <row r="459">
          <cell r="A459" t="str">
            <v>TH-21</v>
          </cell>
          <cell r="D459">
            <v>2018</v>
          </cell>
          <cell r="E459">
            <v>4.9580862129999996</v>
          </cell>
        </row>
        <row r="460">
          <cell r="A460" t="str">
            <v>TH-25</v>
          </cell>
          <cell r="D460">
            <v>2018</v>
          </cell>
          <cell r="E460">
            <v>0.94377008100000004</v>
          </cell>
        </row>
        <row r="461">
          <cell r="A461" t="str">
            <v>TH-45</v>
          </cell>
          <cell r="D461">
            <v>2018</v>
          </cell>
          <cell r="E461">
            <v>0.50095335900000004</v>
          </cell>
        </row>
        <row r="462">
          <cell r="A462" t="str">
            <v>TH-56</v>
          </cell>
          <cell r="D462">
            <v>2018</v>
          </cell>
          <cell r="E462">
            <v>0.26776940300000002</v>
          </cell>
        </row>
        <row r="463">
          <cell r="A463" t="str">
            <v>TH-60</v>
          </cell>
          <cell r="D463">
            <v>2018</v>
          </cell>
          <cell r="E463">
            <v>0.53200029199999999</v>
          </cell>
        </row>
        <row r="464">
          <cell r="A464" t="str">
            <v>TH-39</v>
          </cell>
          <cell r="D464">
            <v>2019</v>
          </cell>
          <cell r="E464">
            <v>0.37774627100000002</v>
          </cell>
        </row>
        <row r="465">
          <cell r="A465" t="str">
            <v>TH-24</v>
          </cell>
          <cell r="D465">
            <v>2019</v>
          </cell>
          <cell r="E465">
            <v>1.423313243</v>
          </cell>
        </row>
        <row r="466">
          <cell r="A466" t="str">
            <v>TH-32</v>
          </cell>
          <cell r="D466">
            <v>2019</v>
          </cell>
          <cell r="E466">
            <v>0.40338340099999997</v>
          </cell>
        </row>
        <row r="467">
          <cell r="A467" t="str">
            <v>TH-30</v>
          </cell>
          <cell r="D467">
            <v>2019</v>
          </cell>
          <cell r="E467">
            <v>0.67977644599999998</v>
          </cell>
        </row>
        <row r="468">
          <cell r="A468" t="str">
            <v>TH-64</v>
          </cell>
          <cell r="D468">
            <v>2019</v>
          </cell>
          <cell r="E468">
            <v>0.38771190700000002</v>
          </cell>
        </row>
        <row r="469">
          <cell r="A469" t="str">
            <v>TH-76</v>
          </cell>
          <cell r="D469">
            <v>2019</v>
          </cell>
          <cell r="E469">
            <v>1.034851556</v>
          </cell>
        </row>
        <row r="470">
          <cell r="A470" t="str">
            <v>TH-36</v>
          </cell>
          <cell r="D470">
            <v>2019</v>
          </cell>
          <cell r="E470">
            <v>0.31385935399999998</v>
          </cell>
        </row>
        <row r="471">
          <cell r="A471" t="str">
            <v>TH-67</v>
          </cell>
          <cell r="D471">
            <v>2019</v>
          </cell>
          <cell r="E471">
            <v>0.338724737</v>
          </cell>
        </row>
        <row r="472">
          <cell r="A472" t="str">
            <v>TH-84</v>
          </cell>
          <cell r="D472">
            <v>2019</v>
          </cell>
          <cell r="E472">
            <v>0.471822772</v>
          </cell>
        </row>
        <row r="473">
          <cell r="A473" t="str">
            <v>TH-33</v>
          </cell>
          <cell r="D473">
            <v>2019</v>
          </cell>
          <cell r="E473">
            <v>0.364523604</v>
          </cell>
        </row>
        <row r="474">
          <cell r="A474" t="str">
            <v>TH-43</v>
          </cell>
          <cell r="D474">
            <v>2019</v>
          </cell>
          <cell r="E474">
            <v>0.70451656299999998</v>
          </cell>
        </row>
        <row r="475">
          <cell r="A475" t="str">
            <v>TH-10</v>
          </cell>
          <cell r="D475">
            <v>2019</v>
          </cell>
          <cell r="E475">
            <v>22.573291569999999</v>
          </cell>
        </row>
        <row r="476">
          <cell r="A476" t="str">
            <v>TH-40</v>
          </cell>
          <cell r="D476">
            <v>2019</v>
          </cell>
          <cell r="E476">
            <v>0.80456173099999995</v>
          </cell>
        </row>
        <row r="477">
          <cell r="A477" t="str">
            <v>TH-42</v>
          </cell>
          <cell r="D477">
            <v>2019</v>
          </cell>
          <cell r="E477">
            <v>0.228374673</v>
          </cell>
        </row>
        <row r="478">
          <cell r="A478" t="str">
            <v>TH-19</v>
          </cell>
          <cell r="D478">
            <v>2019</v>
          </cell>
          <cell r="E478">
            <v>2.5048382280000001</v>
          </cell>
        </row>
        <row r="479">
          <cell r="A479" t="str">
            <v>TH-61</v>
          </cell>
          <cell r="D479">
            <v>2019</v>
          </cell>
          <cell r="E479">
            <v>0.27315122400000003</v>
          </cell>
        </row>
        <row r="480">
          <cell r="A480" t="str">
            <v>TH-86</v>
          </cell>
          <cell r="D480">
            <v>2019</v>
          </cell>
          <cell r="E480">
            <v>0.485765842</v>
          </cell>
        </row>
        <row r="481">
          <cell r="A481" t="str">
            <v>TH-46</v>
          </cell>
          <cell r="D481">
            <v>2019</v>
          </cell>
          <cell r="E481">
            <v>0.51733759599999996</v>
          </cell>
        </row>
        <row r="482">
          <cell r="A482" t="str">
            <v>TH-65</v>
          </cell>
          <cell r="D482">
            <v>2019</v>
          </cell>
          <cell r="E482">
            <v>0.48724999699999999</v>
          </cell>
        </row>
        <row r="483">
          <cell r="A483" t="str">
            <v>TH-85</v>
          </cell>
          <cell r="D483">
            <v>2019</v>
          </cell>
          <cell r="E483">
            <v>0.359954834</v>
          </cell>
        </row>
        <row r="484">
          <cell r="A484" t="str">
            <v>TH-41</v>
          </cell>
          <cell r="D484">
            <v>2019</v>
          </cell>
          <cell r="E484">
            <v>0.48993900899999998</v>
          </cell>
        </row>
        <row r="485">
          <cell r="A485" t="str">
            <v>TH-47</v>
          </cell>
          <cell r="D485">
            <v>2019</v>
          </cell>
          <cell r="E485">
            <v>0.34227767599999998</v>
          </cell>
        </row>
        <row r="486">
          <cell r="A486" t="str">
            <v>TH-57</v>
          </cell>
          <cell r="D486">
            <v>2019</v>
          </cell>
          <cell r="E486">
            <v>0.49760301099999998</v>
          </cell>
        </row>
        <row r="487">
          <cell r="A487" t="str">
            <v>TH-63</v>
          </cell>
          <cell r="D487">
            <v>2019</v>
          </cell>
          <cell r="E487">
            <v>0.199061085</v>
          </cell>
        </row>
        <row r="488">
          <cell r="A488" t="str">
            <v>TH-14</v>
          </cell>
          <cell r="D488">
            <v>2019</v>
          </cell>
          <cell r="E488">
            <v>4.1126716449999998</v>
          </cell>
        </row>
        <row r="489">
          <cell r="A489" t="str">
            <v>TH-66</v>
          </cell>
          <cell r="D489">
            <v>2019</v>
          </cell>
          <cell r="E489">
            <v>0.57581117699999995</v>
          </cell>
        </row>
        <row r="490">
          <cell r="A490" t="str">
            <v>TH-93</v>
          </cell>
          <cell r="D490">
            <v>2019</v>
          </cell>
          <cell r="E490">
            <v>0.72005420899999995</v>
          </cell>
        </row>
        <row r="491">
          <cell r="A491" t="str">
            <v>TH-82</v>
          </cell>
          <cell r="D491">
            <v>2019</v>
          </cell>
          <cell r="E491">
            <v>0.50863143499999997</v>
          </cell>
        </row>
        <row r="492">
          <cell r="A492" t="str">
            <v>TH-94</v>
          </cell>
          <cell r="D492">
            <v>2019</v>
          </cell>
          <cell r="E492">
            <v>1.515463604</v>
          </cell>
        </row>
        <row r="493">
          <cell r="A493" t="str">
            <v>TH-13</v>
          </cell>
          <cell r="D493">
            <v>2019</v>
          </cell>
          <cell r="E493">
            <v>8.3866491560000007</v>
          </cell>
        </row>
        <row r="494">
          <cell r="A494" t="str">
            <v>TH-80</v>
          </cell>
          <cell r="D494">
            <v>2019</v>
          </cell>
          <cell r="E494">
            <v>0.56663857699999998</v>
          </cell>
        </row>
        <row r="495">
          <cell r="A495" t="str">
            <v>TH-26</v>
          </cell>
          <cell r="D495">
            <v>2019</v>
          </cell>
          <cell r="E495">
            <v>1.021732576</v>
          </cell>
        </row>
        <row r="496">
          <cell r="A496" t="str">
            <v>TH-49</v>
          </cell>
          <cell r="D496">
            <v>2019</v>
          </cell>
          <cell r="E496">
            <v>0.34202993999999998</v>
          </cell>
        </row>
        <row r="497">
          <cell r="A497" t="str">
            <v>TH-16</v>
          </cell>
          <cell r="D497">
            <v>2019</v>
          </cell>
          <cell r="E497">
            <v>0.66536750600000005</v>
          </cell>
        </row>
        <row r="498">
          <cell r="A498" t="str">
            <v>TH-81</v>
          </cell>
          <cell r="D498">
            <v>2019</v>
          </cell>
          <cell r="E498">
            <v>0.62196714600000003</v>
          </cell>
        </row>
        <row r="499">
          <cell r="A499" t="str">
            <v>TH-20</v>
          </cell>
          <cell r="D499">
            <v>2019</v>
          </cell>
          <cell r="E499">
            <v>5.7103540419999996</v>
          </cell>
        </row>
        <row r="500">
          <cell r="A500" t="str">
            <v>TH-50</v>
          </cell>
          <cell r="D500">
            <v>2019</v>
          </cell>
          <cell r="E500">
            <v>0.43909451700000002</v>
          </cell>
        </row>
        <row r="501">
          <cell r="A501" t="str">
            <v>TH-18</v>
          </cell>
          <cell r="D501">
            <v>2019</v>
          </cell>
          <cell r="E501">
            <v>0.97887249399999998</v>
          </cell>
        </row>
        <row r="502">
          <cell r="A502" t="str">
            <v>TH-37</v>
          </cell>
          <cell r="D502">
            <v>2019</v>
          </cell>
          <cell r="E502">
            <v>0.40787358699999998</v>
          </cell>
        </row>
        <row r="503">
          <cell r="A503" t="str">
            <v>TH-74</v>
          </cell>
          <cell r="D503">
            <v>2019</v>
          </cell>
          <cell r="E503">
            <v>7.0293878210000003</v>
          </cell>
        </row>
        <row r="504">
          <cell r="A504" t="str">
            <v>TH-11</v>
          </cell>
          <cell r="D504">
            <v>2019</v>
          </cell>
          <cell r="E504">
            <v>15.85666979</v>
          </cell>
        </row>
        <row r="505">
          <cell r="A505" t="str">
            <v>TH-55</v>
          </cell>
          <cell r="D505">
            <v>2019</v>
          </cell>
          <cell r="E505">
            <v>0.13656084099999999</v>
          </cell>
        </row>
        <row r="506">
          <cell r="A506" t="str">
            <v>TH-22</v>
          </cell>
          <cell r="D506">
            <v>2019</v>
          </cell>
          <cell r="E506">
            <v>0.57499529299999996</v>
          </cell>
        </row>
        <row r="507">
          <cell r="A507" t="str">
            <v>TH-48</v>
          </cell>
          <cell r="D507">
            <v>2019</v>
          </cell>
          <cell r="E507">
            <v>0.42906888300000001</v>
          </cell>
        </row>
        <row r="508">
          <cell r="A508" t="str">
            <v>TH-71</v>
          </cell>
          <cell r="D508">
            <v>2019</v>
          </cell>
          <cell r="E508">
            <v>0.31804664599999999</v>
          </cell>
        </row>
        <row r="509">
          <cell r="A509" t="str">
            <v>TH-58</v>
          </cell>
          <cell r="D509">
            <v>2019</v>
          </cell>
          <cell r="E509">
            <v>4.2759597000000003E-2</v>
          </cell>
        </row>
        <row r="510">
          <cell r="A510" t="str">
            <v>TH-27</v>
          </cell>
          <cell r="D510">
            <v>2019</v>
          </cell>
          <cell r="E510">
            <v>0.46070245199999998</v>
          </cell>
        </row>
        <row r="511">
          <cell r="A511" t="str">
            <v>TH-91</v>
          </cell>
          <cell r="D511">
            <v>2019</v>
          </cell>
          <cell r="E511">
            <v>0.80679679500000001</v>
          </cell>
        </row>
        <row r="512">
          <cell r="A512" t="str">
            <v>TH-73</v>
          </cell>
          <cell r="D512">
            <v>2019</v>
          </cell>
          <cell r="E512">
            <v>4.5238122079999998</v>
          </cell>
        </row>
        <row r="513">
          <cell r="A513" t="str">
            <v>TH-51</v>
          </cell>
          <cell r="D513">
            <v>2019</v>
          </cell>
          <cell r="E513">
            <v>0.62185401699999998</v>
          </cell>
        </row>
        <row r="514">
          <cell r="A514" t="str">
            <v>TH-23</v>
          </cell>
          <cell r="D514">
            <v>2019</v>
          </cell>
          <cell r="E514">
            <v>0.39807652399999999</v>
          </cell>
        </row>
        <row r="515">
          <cell r="A515" t="str">
            <v>TH-70</v>
          </cell>
          <cell r="D515">
            <v>2019</v>
          </cell>
          <cell r="E515">
            <v>1.3702854799999999</v>
          </cell>
        </row>
        <row r="516">
          <cell r="A516" t="str">
            <v>TH-35</v>
          </cell>
          <cell r="D516">
            <v>2019</v>
          </cell>
          <cell r="E516">
            <v>0.40782457500000002</v>
          </cell>
        </row>
        <row r="517">
          <cell r="A517" t="str">
            <v>TH-54</v>
          </cell>
          <cell r="D517">
            <v>2019</v>
          </cell>
          <cell r="E517">
            <v>0.38601904300000001</v>
          </cell>
        </row>
        <row r="518">
          <cell r="A518" t="str">
            <v>TH-95</v>
          </cell>
          <cell r="D518">
            <v>2019</v>
          </cell>
          <cell r="E518">
            <v>0.52863086299999995</v>
          </cell>
        </row>
        <row r="519">
          <cell r="A519" t="str">
            <v>TH-53</v>
          </cell>
          <cell r="D519">
            <v>2019</v>
          </cell>
          <cell r="E519">
            <v>0.31407339400000001</v>
          </cell>
        </row>
        <row r="520">
          <cell r="A520" t="str">
            <v>TH-31</v>
          </cell>
          <cell r="D520">
            <v>2019</v>
          </cell>
          <cell r="E520">
            <v>0.44689161900000002</v>
          </cell>
        </row>
        <row r="521">
          <cell r="A521" t="str">
            <v>TH-62</v>
          </cell>
          <cell r="D521">
            <v>2019</v>
          </cell>
          <cell r="E521">
            <v>0.46297770900000002</v>
          </cell>
        </row>
        <row r="522">
          <cell r="A522" t="str">
            <v>TH-52</v>
          </cell>
          <cell r="D522">
            <v>2019</v>
          </cell>
          <cell r="E522">
            <v>0.36509054099999999</v>
          </cell>
        </row>
        <row r="523">
          <cell r="A523" t="str">
            <v>TH-12</v>
          </cell>
          <cell r="D523">
            <v>2019</v>
          </cell>
          <cell r="E523">
            <v>12.921090700000001</v>
          </cell>
        </row>
        <row r="524">
          <cell r="A524" t="str">
            <v>TH-38</v>
          </cell>
          <cell r="D524">
            <v>2019</v>
          </cell>
          <cell r="E524">
            <v>0.33454350300000002</v>
          </cell>
        </row>
        <row r="525">
          <cell r="A525" t="str">
            <v>TH-96</v>
          </cell>
          <cell r="D525">
            <v>2019</v>
          </cell>
          <cell r="E525">
            <v>0.635663957</v>
          </cell>
        </row>
        <row r="526">
          <cell r="A526" t="str">
            <v>TH-34</v>
          </cell>
          <cell r="D526">
            <v>2019</v>
          </cell>
          <cell r="E526">
            <v>0.35783253300000001</v>
          </cell>
        </row>
        <row r="527">
          <cell r="A527" t="str">
            <v>TH-77</v>
          </cell>
          <cell r="D527">
            <v>2019</v>
          </cell>
          <cell r="E527">
            <v>0.74677471399999995</v>
          </cell>
        </row>
        <row r="528">
          <cell r="A528" t="str">
            <v>TH-90</v>
          </cell>
          <cell r="D528">
            <v>2019</v>
          </cell>
          <cell r="E528">
            <v>1.271058856</v>
          </cell>
        </row>
        <row r="529">
          <cell r="A529" t="str">
            <v>TH-83</v>
          </cell>
          <cell r="D529">
            <v>2019</v>
          </cell>
          <cell r="E529">
            <v>9.0830644280000001</v>
          </cell>
        </row>
        <row r="530">
          <cell r="A530" t="str">
            <v>TH-15</v>
          </cell>
          <cell r="D530">
            <v>2019</v>
          </cell>
          <cell r="E530">
            <v>2.337290678</v>
          </cell>
        </row>
        <row r="531">
          <cell r="A531" t="str">
            <v>TH-44</v>
          </cell>
          <cell r="D531">
            <v>2019</v>
          </cell>
          <cell r="E531">
            <v>0.69651976800000004</v>
          </cell>
        </row>
        <row r="532">
          <cell r="A532" t="str">
            <v>TH-92</v>
          </cell>
          <cell r="D532">
            <v>2019</v>
          </cell>
          <cell r="E532">
            <v>0.705813841</v>
          </cell>
        </row>
        <row r="533">
          <cell r="A533" t="str">
            <v>TH-72</v>
          </cell>
          <cell r="D533">
            <v>2019</v>
          </cell>
          <cell r="E533">
            <v>1.162160439</v>
          </cell>
        </row>
        <row r="534">
          <cell r="A534" t="str">
            <v>TH-17</v>
          </cell>
          <cell r="D534">
            <v>2019</v>
          </cell>
          <cell r="E534">
            <v>2.2028890739999998</v>
          </cell>
        </row>
        <row r="535">
          <cell r="A535" t="str">
            <v>TH-75</v>
          </cell>
          <cell r="D535">
            <v>2019</v>
          </cell>
          <cell r="E535">
            <v>4.2684794180000001</v>
          </cell>
        </row>
        <row r="536">
          <cell r="A536" t="str">
            <v>TH-21</v>
          </cell>
          <cell r="D536">
            <v>2019</v>
          </cell>
          <cell r="E536">
            <v>5.2806285930000003</v>
          </cell>
        </row>
        <row r="537">
          <cell r="A537" t="str">
            <v>TH-25</v>
          </cell>
          <cell r="D537">
            <v>2019</v>
          </cell>
          <cell r="E537">
            <v>1.001403925</v>
          </cell>
        </row>
        <row r="538">
          <cell r="A538" t="str">
            <v>TH-45</v>
          </cell>
          <cell r="D538">
            <v>2019</v>
          </cell>
          <cell r="E538">
            <v>0.499376506</v>
          </cell>
        </row>
        <row r="539">
          <cell r="A539" t="str">
            <v>TH-56</v>
          </cell>
          <cell r="D539">
            <v>2019</v>
          </cell>
          <cell r="E539">
            <v>0.309704492</v>
          </cell>
        </row>
        <row r="540">
          <cell r="A540" t="str">
            <v>TH-60</v>
          </cell>
          <cell r="D540">
            <v>2019</v>
          </cell>
          <cell r="E540">
            <v>0.57542461700000003</v>
          </cell>
        </row>
        <row r="541">
          <cell r="A541" t="str">
            <v>TH-39</v>
          </cell>
          <cell r="D541">
            <v>2020</v>
          </cell>
          <cell r="E541">
            <v>0.44553083500000001</v>
          </cell>
        </row>
        <row r="542">
          <cell r="A542" t="str">
            <v>TH-24</v>
          </cell>
          <cell r="D542">
            <v>2020</v>
          </cell>
          <cell r="E542">
            <v>1.5127382110000001</v>
          </cell>
        </row>
        <row r="543">
          <cell r="A543" t="str">
            <v>TH-32</v>
          </cell>
          <cell r="D543">
            <v>2020</v>
          </cell>
          <cell r="E543">
            <v>0.43968469700000001</v>
          </cell>
        </row>
        <row r="544">
          <cell r="A544" t="str">
            <v>TH-30</v>
          </cell>
          <cell r="D544">
            <v>2020</v>
          </cell>
          <cell r="E544">
            <v>0.73777854799999998</v>
          </cell>
        </row>
        <row r="545">
          <cell r="A545" t="str">
            <v>TH-64</v>
          </cell>
          <cell r="D545">
            <v>2020</v>
          </cell>
          <cell r="E545">
            <v>0.40939028399999999</v>
          </cell>
        </row>
        <row r="546">
          <cell r="A546" t="str">
            <v>TH-76</v>
          </cell>
          <cell r="D546">
            <v>2020</v>
          </cell>
          <cell r="E546">
            <v>1.084523342</v>
          </cell>
        </row>
        <row r="547">
          <cell r="A547" t="str">
            <v>TH-36</v>
          </cell>
          <cell r="D547">
            <v>2020</v>
          </cell>
          <cell r="E547">
            <v>0.34388826900000002</v>
          </cell>
        </row>
        <row r="548">
          <cell r="A548" t="str">
            <v>TH-67</v>
          </cell>
          <cell r="D548">
            <v>2020</v>
          </cell>
          <cell r="E548">
            <v>0.35625415599999999</v>
          </cell>
        </row>
        <row r="549">
          <cell r="A549" t="str">
            <v>TH-84</v>
          </cell>
          <cell r="D549">
            <v>2020</v>
          </cell>
          <cell r="E549">
            <v>0.52182130000000004</v>
          </cell>
        </row>
        <row r="550">
          <cell r="A550" t="str">
            <v>TH-33</v>
          </cell>
          <cell r="D550">
            <v>2020</v>
          </cell>
          <cell r="E550">
            <v>0.43784063299999998</v>
          </cell>
        </row>
        <row r="551">
          <cell r="A551" t="str">
            <v>TH-43</v>
          </cell>
          <cell r="D551">
            <v>2020</v>
          </cell>
          <cell r="E551">
            <v>0.79265552399999994</v>
          </cell>
        </row>
        <row r="552">
          <cell r="A552" t="str">
            <v>TH-10</v>
          </cell>
          <cell r="D552">
            <v>2020</v>
          </cell>
          <cell r="E552">
            <v>22.53141183</v>
          </cell>
        </row>
        <row r="553">
          <cell r="A553" t="str">
            <v>TH-40</v>
          </cell>
          <cell r="D553">
            <v>2020</v>
          </cell>
          <cell r="E553">
            <v>0.86620540300000004</v>
          </cell>
        </row>
        <row r="554">
          <cell r="A554" t="str">
            <v>TH-42</v>
          </cell>
          <cell r="D554">
            <v>2020</v>
          </cell>
          <cell r="E554">
            <v>0.249597755</v>
          </cell>
        </row>
        <row r="555">
          <cell r="A555" t="str">
            <v>TH-19</v>
          </cell>
          <cell r="D555">
            <v>2020</v>
          </cell>
          <cell r="E555">
            <v>2.6048164819999999</v>
          </cell>
        </row>
        <row r="556">
          <cell r="A556" t="str">
            <v>TH-61</v>
          </cell>
          <cell r="D556">
            <v>2020</v>
          </cell>
          <cell r="E556">
            <v>0.28959038500000001</v>
          </cell>
        </row>
        <row r="557">
          <cell r="A557" t="str">
            <v>TH-86</v>
          </cell>
          <cell r="D557">
            <v>2020</v>
          </cell>
          <cell r="E557">
            <v>0.52722256999999995</v>
          </cell>
        </row>
        <row r="558">
          <cell r="A558" t="str">
            <v>TH-46</v>
          </cell>
          <cell r="D558">
            <v>2020</v>
          </cell>
          <cell r="E558">
            <v>0.61452916700000004</v>
          </cell>
        </row>
        <row r="559">
          <cell r="A559" t="str">
            <v>TH-65</v>
          </cell>
          <cell r="D559">
            <v>2020</v>
          </cell>
          <cell r="E559">
            <v>0.51599774200000004</v>
          </cell>
        </row>
        <row r="560">
          <cell r="A560" t="str">
            <v>TH-85</v>
          </cell>
          <cell r="D560">
            <v>2020</v>
          </cell>
          <cell r="E560">
            <v>0.41141165099999999</v>
          </cell>
        </row>
        <row r="561">
          <cell r="A561" t="str">
            <v>TH-41</v>
          </cell>
          <cell r="D561">
            <v>2020</v>
          </cell>
          <cell r="E561">
            <v>0.56043537200000004</v>
          </cell>
        </row>
        <row r="562">
          <cell r="A562" t="str">
            <v>TH-47</v>
          </cell>
          <cell r="D562">
            <v>2020</v>
          </cell>
          <cell r="E562">
            <v>0.42681962699999998</v>
          </cell>
        </row>
        <row r="563">
          <cell r="A563" t="str">
            <v>TH-57</v>
          </cell>
          <cell r="D563">
            <v>2020</v>
          </cell>
          <cell r="E563">
            <v>0.55719468299999997</v>
          </cell>
        </row>
        <row r="564">
          <cell r="A564" t="str">
            <v>TH-63</v>
          </cell>
          <cell r="D564">
            <v>2020</v>
          </cell>
          <cell r="E564">
            <v>0.21895420400000001</v>
          </cell>
        </row>
        <row r="565">
          <cell r="A565" t="str">
            <v>TH-14</v>
          </cell>
          <cell r="D565">
            <v>2020</v>
          </cell>
          <cell r="E565">
            <v>4.1849168509999997</v>
          </cell>
        </row>
        <row r="566">
          <cell r="A566" t="str">
            <v>TH-66</v>
          </cell>
          <cell r="D566">
            <v>2020</v>
          </cell>
          <cell r="E566">
            <v>0.638914816</v>
          </cell>
        </row>
        <row r="567">
          <cell r="A567" t="str">
            <v>TH-93</v>
          </cell>
          <cell r="D567">
            <v>2020</v>
          </cell>
          <cell r="E567">
            <v>0.77451063899999995</v>
          </cell>
        </row>
        <row r="568">
          <cell r="A568" t="str">
            <v>TH-82</v>
          </cell>
          <cell r="D568">
            <v>2020</v>
          </cell>
          <cell r="E568">
            <v>0.59820591999999995</v>
          </cell>
        </row>
        <row r="569">
          <cell r="A569" t="str">
            <v>TH-94</v>
          </cell>
          <cell r="D569">
            <v>2020</v>
          </cell>
          <cell r="E569">
            <v>1.6704460640000001</v>
          </cell>
        </row>
        <row r="570">
          <cell r="A570" t="str">
            <v>TH-13</v>
          </cell>
          <cell r="D570">
            <v>2020</v>
          </cell>
          <cell r="E570">
            <v>8.3511870720000001</v>
          </cell>
        </row>
        <row r="571">
          <cell r="A571" t="str">
            <v>TH-80</v>
          </cell>
          <cell r="D571">
            <v>2020</v>
          </cell>
          <cell r="E571">
            <v>0.60280656700000002</v>
          </cell>
        </row>
        <row r="572">
          <cell r="A572" t="str">
            <v>TH-26</v>
          </cell>
          <cell r="D572">
            <v>2020</v>
          </cell>
          <cell r="E572">
            <v>1.135500277</v>
          </cell>
        </row>
        <row r="573">
          <cell r="A573" t="str">
            <v>TH-49</v>
          </cell>
          <cell r="D573">
            <v>2020</v>
          </cell>
          <cell r="E573">
            <v>0.416138852</v>
          </cell>
        </row>
        <row r="574">
          <cell r="A574" t="str">
            <v>TH-16</v>
          </cell>
          <cell r="D574">
            <v>2020</v>
          </cell>
          <cell r="E574">
            <v>0.70638187799999996</v>
          </cell>
        </row>
        <row r="575">
          <cell r="A575" t="str">
            <v>TH-81</v>
          </cell>
          <cell r="D575">
            <v>2020</v>
          </cell>
          <cell r="E575">
            <v>0.71470792400000005</v>
          </cell>
        </row>
        <row r="576">
          <cell r="A576" t="str">
            <v>TH-20</v>
          </cell>
          <cell r="D576">
            <v>2020</v>
          </cell>
          <cell r="E576">
            <v>5.9800448900000003</v>
          </cell>
        </row>
        <row r="577">
          <cell r="A577" t="str">
            <v>TH-50</v>
          </cell>
          <cell r="D577">
            <v>2020</v>
          </cell>
          <cell r="E577">
            <v>0.45827262800000002</v>
          </cell>
        </row>
        <row r="578">
          <cell r="A578" t="str">
            <v>TH-18</v>
          </cell>
          <cell r="D578">
            <v>2020</v>
          </cell>
          <cell r="E578">
            <v>1.0319921759999999</v>
          </cell>
        </row>
        <row r="579">
          <cell r="A579" t="str">
            <v>TH-37</v>
          </cell>
          <cell r="D579">
            <v>2020</v>
          </cell>
          <cell r="E579">
            <v>0.495395115</v>
          </cell>
        </row>
        <row r="580">
          <cell r="A580" t="str">
            <v>TH-74</v>
          </cell>
          <cell r="D580">
            <v>2020</v>
          </cell>
          <cell r="E580">
            <v>7.2866127939999998</v>
          </cell>
        </row>
        <row r="581">
          <cell r="A581" t="str">
            <v>TH-11</v>
          </cell>
          <cell r="D581">
            <v>2020</v>
          </cell>
          <cell r="E581">
            <v>16.52982909</v>
          </cell>
        </row>
        <row r="582">
          <cell r="A582" t="str">
            <v>TH-55</v>
          </cell>
          <cell r="D582">
            <v>2020</v>
          </cell>
          <cell r="E582">
            <v>0.16363603700000001</v>
          </cell>
        </row>
        <row r="583">
          <cell r="A583" t="str">
            <v>TH-22</v>
          </cell>
          <cell r="D583">
            <v>2020</v>
          </cell>
          <cell r="E583">
            <v>0.60825749299999998</v>
          </cell>
        </row>
        <row r="584">
          <cell r="A584" t="str">
            <v>TH-48</v>
          </cell>
          <cell r="D584">
            <v>2020</v>
          </cell>
          <cell r="E584">
            <v>0.540142499</v>
          </cell>
        </row>
        <row r="585">
          <cell r="A585" t="str">
            <v>TH-71</v>
          </cell>
          <cell r="D585">
            <v>2020</v>
          </cell>
          <cell r="E585">
            <v>0.330873168</v>
          </cell>
        </row>
        <row r="586">
          <cell r="A586" t="str">
            <v>TH-58</v>
          </cell>
          <cell r="D586">
            <v>2020</v>
          </cell>
          <cell r="E586">
            <v>4.7980552000000003E-2</v>
          </cell>
        </row>
        <row r="587">
          <cell r="A587" t="str">
            <v>TH-27</v>
          </cell>
          <cell r="D587">
            <v>2020</v>
          </cell>
          <cell r="E587">
            <v>0.46900460500000002</v>
          </cell>
        </row>
        <row r="588">
          <cell r="A588" t="str">
            <v>TH-91</v>
          </cell>
          <cell r="D588">
            <v>2020</v>
          </cell>
          <cell r="E588">
            <v>0.88536177100000002</v>
          </cell>
        </row>
        <row r="589">
          <cell r="A589" t="str">
            <v>TH-73</v>
          </cell>
          <cell r="D589">
            <v>2020</v>
          </cell>
          <cell r="E589">
            <v>4.5504959329999997</v>
          </cell>
        </row>
        <row r="590">
          <cell r="A590" t="str">
            <v>TH-51</v>
          </cell>
          <cell r="D590">
            <v>2020</v>
          </cell>
          <cell r="E590">
            <v>0.66527494600000003</v>
          </cell>
        </row>
        <row r="591">
          <cell r="A591" t="str">
            <v>TH-23</v>
          </cell>
          <cell r="D591">
            <v>2020</v>
          </cell>
          <cell r="E591">
            <v>0.43595214199999999</v>
          </cell>
        </row>
        <row r="592">
          <cell r="A592" t="str">
            <v>TH-70</v>
          </cell>
          <cell r="D592">
            <v>2020</v>
          </cell>
          <cell r="E592">
            <v>1.4516016359999999</v>
          </cell>
        </row>
        <row r="593">
          <cell r="A593" t="str">
            <v>TH-35</v>
          </cell>
          <cell r="D593">
            <v>2020</v>
          </cell>
          <cell r="E593">
            <v>0.47433812199999997</v>
          </cell>
        </row>
        <row r="594">
          <cell r="A594" t="str">
            <v>TH-54</v>
          </cell>
          <cell r="D594">
            <v>2020</v>
          </cell>
          <cell r="E594">
            <v>0.42369785900000001</v>
          </cell>
        </row>
        <row r="595">
          <cell r="A595" t="str">
            <v>TH-95</v>
          </cell>
          <cell r="D595">
            <v>2020</v>
          </cell>
          <cell r="E595">
            <v>0.58784406199999995</v>
          </cell>
        </row>
        <row r="596">
          <cell r="A596" t="str">
            <v>TH-53</v>
          </cell>
          <cell r="D596">
            <v>2020</v>
          </cell>
          <cell r="E596">
            <v>0.34497934299999999</v>
          </cell>
        </row>
        <row r="597">
          <cell r="A597" t="str">
            <v>TH-31</v>
          </cell>
          <cell r="D597">
            <v>2020</v>
          </cell>
          <cell r="E597">
            <v>0.51559393499999995</v>
          </cell>
        </row>
        <row r="598">
          <cell r="A598" t="str">
            <v>TH-62</v>
          </cell>
          <cell r="D598">
            <v>2020</v>
          </cell>
          <cell r="E598">
            <v>0.50004457599999996</v>
          </cell>
        </row>
        <row r="599">
          <cell r="A599" t="str">
            <v>TH-52</v>
          </cell>
          <cell r="D599">
            <v>2020</v>
          </cell>
          <cell r="E599">
            <v>0.396683491</v>
          </cell>
        </row>
        <row r="600">
          <cell r="A600" t="str">
            <v>TH-12</v>
          </cell>
          <cell r="D600">
            <v>2020</v>
          </cell>
          <cell r="E600">
            <v>13.172080319999999</v>
          </cell>
        </row>
        <row r="601">
          <cell r="A601" t="str">
            <v>TH-38</v>
          </cell>
          <cell r="D601">
            <v>2020</v>
          </cell>
          <cell r="E601">
            <v>0.38344836599999998</v>
          </cell>
        </row>
        <row r="602">
          <cell r="A602" t="str">
            <v>TH-96</v>
          </cell>
          <cell r="D602">
            <v>2020</v>
          </cell>
          <cell r="E602">
            <v>0.70382037099999994</v>
          </cell>
        </row>
        <row r="603">
          <cell r="A603" t="str">
            <v>TH-34</v>
          </cell>
          <cell r="D603">
            <v>2020</v>
          </cell>
          <cell r="E603">
            <v>0.41077260100000001</v>
          </cell>
        </row>
        <row r="604">
          <cell r="A604" t="str">
            <v>TH-77</v>
          </cell>
          <cell r="D604">
            <v>2020</v>
          </cell>
          <cell r="E604">
            <v>0.80315449500000002</v>
          </cell>
        </row>
        <row r="605">
          <cell r="A605" t="str">
            <v>TH-90</v>
          </cell>
          <cell r="D605">
            <v>2020</v>
          </cell>
          <cell r="E605">
            <v>1.3502503480000001</v>
          </cell>
        </row>
        <row r="606">
          <cell r="A606" t="str">
            <v>TH-83</v>
          </cell>
          <cell r="D606">
            <v>2020</v>
          </cell>
          <cell r="E606">
            <v>9.1625012960000003</v>
          </cell>
        </row>
        <row r="607">
          <cell r="A607" t="str">
            <v>TH-15</v>
          </cell>
          <cell r="D607">
            <v>2020</v>
          </cell>
          <cell r="E607">
            <v>2.5405463020000001</v>
          </cell>
        </row>
        <row r="608">
          <cell r="A608" t="str">
            <v>TH-44</v>
          </cell>
          <cell r="D608">
            <v>2020</v>
          </cell>
          <cell r="E608">
            <v>0.75237644999999997</v>
          </cell>
        </row>
        <row r="609">
          <cell r="A609" t="str">
            <v>TH-92</v>
          </cell>
          <cell r="D609">
            <v>2020</v>
          </cell>
          <cell r="E609">
            <v>0.78479231500000002</v>
          </cell>
        </row>
        <row r="610">
          <cell r="A610" t="str">
            <v>TH-72</v>
          </cell>
          <cell r="D610">
            <v>2020</v>
          </cell>
          <cell r="E610">
            <v>1.2047457589999999</v>
          </cell>
        </row>
        <row r="611">
          <cell r="A611" t="str">
            <v>TH-17</v>
          </cell>
          <cell r="D611">
            <v>2020</v>
          </cell>
          <cell r="E611">
            <v>2.2770450860000002</v>
          </cell>
        </row>
        <row r="612">
          <cell r="A612" t="str">
            <v>TH-75</v>
          </cell>
          <cell r="D612">
            <v>2020</v>
          </cell>
          <cell r="E612">
            <v>4.3570537089999997</v>
          </cell>
        </row>
        <row r="613">
          <cell r="A613" t="str">
            <v>TH-21</v>
          </cell>
          <cell r="D613">
            <v>2020</v>
          </cell>
          <cell r="E613">
            <v>5.5375756049999998</v>
          </cell>
        </row>
        <row r="614">
          <cell r="A614" t="str">
            <v>TH-25</v>
          </cell>
          <cell r="D614">
            <v>2020</v>
          </cell>
          <cell r="E614">
            <v>1.05857932</v>
          </cell>
        </row>
        <row r="615">
          <cell r="A615" t="str">
            <v>TH-45</v>
          </cell>
          <cell r="D615">
            <v>2020</v>
          </cell>
          <cell r="E615">
            <v>0.60380879099999996</v>
          </cell>
        </row>
        <row r="616">
          <cell r="A616" t="str">
            <v>TH-56</v>
          </cell>
          <cell r="D616">
            <v>2020</v>
          </cell>
          <cell r="E616">
            <v>0.35328348900000001</v>
          </cell>
        </row>
        <row r="617">
          <cell r="A617" t="str">
            <v>TH-60</v>
          </cell>
          <cell r="D617">
            <v>2020</v>
          </cell>
          <cell r="E617">
            <v>0.60634244900000001</v>
          </cell>
        </row>
        <row r="618">
          <cell r="A618" t="str">
            <v>TH-39</v>
          </cell>
          <cell r="D618">
            <v>2021</v>
          </cell>
          <cell r="E618">
            <v>0.52754559199999995</v>
          </cell>
        </row>
        <row r="619">
          <cell r="A619" t="str">
            <v>TH-24</v>
          </cell>
          <cell r="D619">
            <v>2021</v>
          </cell>
          <cell r="E619">
            <v>1.753365963</v>
          </cell>
        </row>
        <row r="620">
          <cell r="A620" t="str">
            <v>TH-32</v>
          </cell>
          <cell r="D620">
            <v>2021</v>
          </cell>
          <cell r="E620">
            <v>0.52795438900000002</v>
          </cell>
        </row>
        <row r="621">
          <cell r="A621" t="str">
            <v>TH-30</v>
          </cell>
          <cell r="D621">
            <v>2021</v>
          </cell>
          <cell r="E621">
            <v>0.84243427299999996</v>
          </cell>
        </row>
        <row r="622">
          <cell r="A622" t="str">
            <v>TH-64</v>
          </cell>
          <cell r="D622">
            <v>2021</v>
          </cell>
          <cell r="E622">
            <v>0.49451938499999998</v>
          </cell>
        </row>
        <row r="623">
          <cell r="A623" t="str">
            <v>TH-76</v>
          </cell>
          <cell r="D623">
            <v>2021</v>
          </cell>
          <cell r="E623">
            <v>1.132952875</v>
          </cell>
        </row>
        <row r="624">
          <cell r="A624" t="str">
            <v>TH-36</v>
          </cell>
          <cell r="D624">
            <v>2021</v>
          </cell>
          <cell r="E624">
            <v>0.37866894200000001</v>
          </cell>
        </row>
        <row r="625">
          <cell r="A625" t="str">
            <v>TH-67</v>
          </cell>
          <cell r="D625">
            <v>2021</v>
          </cell>
          <cell r="E625">
            <v>0.42651967400000002</v>
          </cell>
        </row>
        <row r="626">
          <cell r="A626" t="str">
            <v>TH-84</v>
          </cell>
          <cell r="D626">
            <v>2021</v>
          </cell>
          <cell r="E626">
            <v>0.54327881700000002</v>
          </cell>
        </row>
        <row r="627">
          <cell r="A627" t="str">
            <v>TH-33</v>
          </cell>
          <cell r="D627">
            <v>2021</v>
          </cell>
          <cell r="E627">
            <v>0.53332658200000005</v>
          </cell>
        </row>
        <row r="628">
          <cell r="A628" t="str">
            <v>TH-43</v>
          </cell>
          <cell r="D628">
            <v>2021</v>
          </cell>
          <cell r="E628">
            <v>0.91935502400000002</v>
          </cell>
        </row>
        <row r="629">
          <cell r="A629" t="str">
            <v>TH-10</v>
          </cell>
          <cell r="D629">
            <v>2021</v>
          </cell>
          <cell r="E629">
            <v>23.561873590000001</v>
          </cell>
        </row>
        <row r="630">
          <cell r="A630" t="str">
            <v>TH-40</v>
          </cell>
          <cell r="D630">
            <v>2021</v>
          </cell>
          <cell r="E630">
            <v>0.98096108800000004</v>
          </cell>
        </row>
        <row r="631">
          <cell r="A631" t="str">
            <v>TH-42</v>
          </cell>
          <cell r="D631">
            <v>2021</v>
          </cell>
          <cell r="E631">
            <v>0.29372251399999999</v>
          </cell>
        </row>
        <row r="632">
          <cell r="A632" t="str">
            <v>TH-19</v>
          </cell>
          <cell r="D632">
            <v>2021</v>
          </cell>
          <cell r="E632">
            <v>2.7742573400000001</v>
          </cell>
        </row>
        <row r="633">
          <cell r="A633" t="str">
            <v>TH-61</v>
          </cell>
          <cell r="D633">
            <v>2021</v>
          </cell>
          <cell r="E633">
            <v>0.40768934099999998</v>
          </cell>
        </row>
        <row r="634">
          <cell r="A634" t="str">
            <v>TH-86</v>
          </cell>
          <cell r="D634">
            <v>2021</v>
          </cell>
          <cell r="E634">
            <v>0.581341793</v>
          </cell>
        </row>
        <row r="635">
          <cell r="A635" t="str">
            <v>TH-46</v>
          </cell>
          <cell r="D635">
            <v>2021</v>
          </cell>
          <cell r="E635">
            <v>0.70022930800000005</v>
          </cell>
        </row>
        <row r="636">
          <cell r="A636" t="str">
            <v>TH-65</v>
          </cell>
          <cell r="D636">
            <v>2021</v>
          </cell>
          <cell r="E636">
            <v>0.58901309499999999</v>
          </cell>
        </row>
        <row r="637">
          <cell r="A637" t="str">
            <v>TH-85</v>
          </cell>
          <cell r="D637">
            <v>2021</v>
          </cell>
          <cell r="E637">
            <v>0.45741448600000001</v>
          </cell>
        </row>
        <row r="638">
          <cell r="A638" t="str">
            <v>TH-41</v>
          </cell>
          <cell r="D638">
            <v>2021</v>
          </cell>
          <cell r="E638">
            <v>0.636126776</v>
          </cell>
        </row>
        <row r="639">
          <cell r="A639" t="str">
            <v>TH-47</v>
          </cell>
          <cell r="D639">
            <v>2021</v>
          </cell>
          <cell r="E639">
            <v>0.54842042899999999</v>
          </cell>
        </row>
        <row r="640">
          <cell r="A640" t="str">
            <v>TH-57</v>
          </cell>
          <cell r="D640">
            <v>2021</v>
          </cell>
          <cell r="E640">
            <v>0.59303748899999997</v>
          </cell>
        </row>
        <row r="641">
          <cell r="A641" t="str">
            <v>TH-63</v>
          </cell>
          <cell r="D641">
            <v>2021</v>
          </cell>
          <cell r="E641">
            <v>0.23959102099999999</v>
          </cell>
        </row>
        <row r="642">
          <cell r="A642" t="str">
            <v>TH-14</v>
          </cell>
          <cell r="D642">
            <v>2021</v>
          </cell>
          <cell r="E642">
            <v>4.5500771499999999</v>
          </cell>
        </row>
        <row r="643">
          <cell r="A643" t="str">
            <v>TH-66</v>
          </cell>
          <cell r="D643">
            <v>2021</v>
          </cell>
          <cell r="E643">
            <v>0.79110454200000002</v>
          </cell>
        </row>
        <row r="644">
          <cell r="A644" t="str">
            <v>TH-93</v>
          </cell>
          <cell r="D644">
            <v>2021</v>
          </cell>
          <cell r="E644">
            <v>0.909936203</v>
          </cell>
        </row>
        <row r="645">
          <cell r="A645" t="str">
            <v>TH-82</v>
          </cell>
          <cell r="D645">
            <v>2021</v>
          </cell>
          <cell r="E645">
            <v>0.668414391</v>
          </cell>
        </row>
        <row r="646">
          <cell r="A646" t="str">
            <v>TH-94</v>
          </cell>
          <cell r="D646">
            <v>2021</v>
          </cell>
          <cell r="E646">
            <v>1.8175091670000001</v>
          </cell>
        </row>
        <row r="647">
          <cell r="A647" t="str">
            <v>TH-13</v>
          </cell>
          <cell r="D647">
            <v>2021</v>
          </cell>
          <cell r="E647">
            <v>8.9350716380000001</v>
          </cell>
        </row>
        <row r="648">
          <cell r="A648" t="str">
            <v>TH-80</v>
          </cell>
          <cell r="D648">
            <v>2021</v>
          </cell>
          <cell r="E648">
            <v>0.69484541600000005</v>
          </cell>
        </row>
        <row r="649">
          <cell r="A649" t="str">
            <v>TH-26</v>
          </cell>
          <cell r="D649">
            <v>2021</v>
          </cell>
          <cell r="E649">
            <v>1.257849371</v>
          </cell>
        </row>
        <row r="650">
          <cell r="A650" t="str">
            <v>TH-49</v>
          </cell>
          <cell r="D650">
            <v>2021</v>
          </cell>
          <cell r="E650">
            <v>0.46674133400000001</v>
          </cell>
        </row>
        <row r="651">
          <cell r="A651" t="str">
            <v>TH-16</v>
          </cell>
          <cell r="D651">
            <v>2021</v>
          </cell>
          <cell r="E651">
            <v>0.79050434300000005</v>
          </cell>
        </row>
        <row r="652">
          <cell r="A652" t="str">
            <v>TH-81</v>
          </cell>
          <cell r="D652">
            <v>2021</v>
          </cell>
          <cell r="E652">
            <v>0.78103237400000003</v>
          </cell>
        </row>
        <row r="653">
          <cell r="A653" t="str">
            <v>TH-20</v>
          </cell>
          <cell r="D653">
            <v>2021</v>
          </cell>
          <cell r="E653">
            <v>6.6442904079999998</v>
          </cell>
        </row>
        <row r="654">
          <cell r="A654" t="str">
            <v>TH-50</v>
          </cell>
          <cell r="D654">
            <v>2021</v>
          </cell>
          <cell r="E654">
            <v>0.47032882100000001</v>
          </cell>
        </row>
        <row r="655">
          <cell r="A655" t="str">
            <v>TH-18</v>
          </cell>
          <cell r="D655">
            <v>2021</v>
          </cell>
          <cell r="E655">
            <v>1.278669678</v>
          </cell>
        </row>
        <row r="656">
          <cell r="A656" t="str">
            <v>TH-37</v>
          </cell>
          <cell r="D656">
            <v>2021</v>
          </cell>
          <cell r="E656">
            <v>0.56687633299999995</v>
          </cell>
        </row>
        <row r="657">
          <cell r="A657" t="str">
            <v>TH-74</v>
          </cell>
          <cell r="D657">
            <v>2021</v>
          </cell>
          <cell r="E657">
            <v>7.8850958770000004</v>
          </cell>
        </row>
        <row r="658">
          <cell r="A658" t="str">
            <v>TH-11</v>
          </cell>
          <cell r="D658">
            <v>2021</v>
          </cell>
          <cell r="E658">
            <v>17.466350559999999</v>
          </cell>
        </row>
        <row r="659">
          <cell r="A659" t="str">
            <v>TH-55</v>
          </cell>
          <cell r="D659">
            <v>2021</v>
          </cell>
          <cell r="E659">
            <v>0.173685963</v>
          </cell>
        </row>
        <row r="660">
          <cell r="A660" t="str">
            <v>TH-22</v>
          </cell>
          <cell r="D660">
            <v>2021</v>
          </cell>
          <cell r="E660">
            <v>0.64731464900000002</v>
          </cell>
        </row>
        <row r="661">
          <cell r="A661" t="str">
            <v>TH-48</v>
          </cell>
          <cell r="D661">
            <v>2021</v>
          </cell>
          <cell r="E661">
            <v>0.69290001499999998</v>
          </cell>
        </row>
        <row r="662">
          <cell r="A662" t="str">
            <v>TH-71</v>
          </cell>
          <cell r="D662">
            <v>2021</v>
          </cell>
          <cell r="E662">
            <v>0.38159304900000002</v>
          </cell>
        </row>
        <row r="663">
          <cell r="A663" t="str">
            <v>TH-58</v>
          </cell>
          <cell r="D663">
            <v>2021</v>
          </cell>
          <cell r="E663">
            <v>4.8885709999999999E-2</v>
          </cell>
        </row>
        <row r="664">
          <cell r="A664" t="str">
            <v>TH-27</v>
          </cell>
          <cell r="D664">
            <v>2021</v>
          </cell>
          <cell r="E664">
            <v>0.56302150699999998</v>
          </cell>
        </row>
        <row r="665">
          <cell r="A665" t="str">
            <v>TH-91</v>
          </cell>
          <cell r="D665">
            <v>2021</v>
          </cell>
          <cell r="E665">
            <v>1.0549172520000001</v>
          </cell>
        </row>
        <row r="666">
          <cell r="A666" t="str">
            <v>TH-73</v>
          </cell>
          <cell r="D666">
            <v>2021</v>
          </cell>
          <cell r="E666">
            <v>4.8401551520000003</v>
          </cell>
        </row>
        <row r="667">
          <cell r="A667" t="str">
            <v>TH-51</v>
          </cell>
          <cell r="D667">
            <v>2021</v>
          </cell>
          <cell r="E667">
            <v>0.69535336000000003</v>
          </cell>
        </row>
        <row r="668">
          <cell r="A668" t="str">
            <v>TH-23</v>
          </cell>
          <cell r="D668">
            <v>2021</v>
          </cell>
          <cell r="E668">
            <v>0.46504953900000001</v>
          </cell>
        </row>
        <row r="669">
          <cell r="A669" t="str">
            <v>TH-70</v>
          </cell>
          <cell r="D669">
            <v>2021</v>
          </cell>
          <cell r="E669">
            <v>1.630138834</v>
          </cell>
        </row>
        <row r="670">
          <cell r="A670" t="str">
            <v>TH-35</v>
          </cell>
          <cell r="D670">
            <v>2021</v>
          </cell>
          <cell r="E670">
            <v>0.60779256699999995</v>
          </cell>
        </row>
        <row r="671">
          <cell r="A671" t="str">
            <v>TH-54</v>
          </cell>
          <cell r="D671">
            <v>2021</v>
          </cell>
          <cell r="E671">
            <v>0.45457792499999999</v>
          </cell>
        </row>
        <row r="672">
          <cell r="A672" t="str">
            <v>TH-95</v>
          </cell>
          <cell r="D672">
            <v>2021</v>
          </cell>
          <cell r="E672">
            <v>0.73171697000000002</v>
          </cell>
        </row>
        <row r="673">
          <cell r="A673" t="str">
            <v>TH-53</v>
          </cell>
          <cell r="D673">
            <v>2021</v>
          </cell>
          <cell r="E673">
            <v>0.41605527199999998</v>
          </cell>
        </row>
        <row r="674">
          <cell r="A674" t="str">
            <v>TH-31</v>
          </cell>
          <cell r="D674">
            <v>2021</v>
          </cell>
          <cell r="E674">
            <v>0.623220679</v>
          </cell>
        </row>
        <row r="675">
          <cell r="A675" t="str">
            <v>TH-62</v>
          </cell>
          <cell r="D675">
            <v>2021</v>
          </cell>
          <cell r="E675">
            <v>0.61833388300000003</v>
          </cell>
        </row>
        <row r="676">
          <cell r="A676" t="str">
            <v>TH-52</v>
          </cell>
          <cell r="D676">
            <v>2021</v>
          </cell>
          <cell r="E676">
            <v>0.43383755000000002</v>
          </cell>
        </row>
        <row r="677">
          <cell r="A677" t="str">
            <v>TH-12</v>
          </cell>
          <cell r="D677">
            <v>2021</v>
          </cell>
          <cell r="E677">
            <v>13.812142140000001</v>
          </cell>
        </row>
        <row r="678">
          <cell r="A678" t="str">
            <v>TH-38</v>
          </cell>
          <cell r="D678">
            <v>2021</v>
          </cell>
          <cell r="E678">
            <v>0.45143323099999999</v>
          </cell>
        </row>
        <row r="679">
          <cell r="A679" t="str">
            <v>TH-96</v>
          </cell>
          <cell r="D679">
            <v>2021</v>
          </cell>
          <cell r="E679">
            <v>0.82784076500000003</v>
          </cell>
        </row>
        <row r="680">
          <cell r="A680" t="str">
            <v>TH-34</v>
          </cell>
          <cell r="D680">
            <v>2021</v>
          </cell>
          <cell r="E680">
            <v>0.50776811300000002</v>
          </cell>
        </row>
        <row r="681">
          <cell r="A681" t="str">
            <v>TH-77</v>
          </cell>
          <cell r="D681">
            <v>2021</v>
          </cell>
          <cell r="E681">
            <v>0.86433147499999996</v>
          </cell>
        </row>
        <row r="682">
          <cell r="A682" t="str">
            <v>TH-90</v>
          </cell>
          <cell r="D682">
            <v>2021</v>
          </cell>
          <cell r="E682">
            <v>1.417342799</v>
          </cell>
        </row>
        <row r="683">
          <cell r="A683" t="str">
            <v>TH-83</v>
          </cell>
          <cell r="D683">
            <v>2021</v>
          </cell>
          <cell r="E683">
            <v>8.9525281690000007</v>
          </cell>
        </row>
        <row r="684">
          <cell r="A684" t="str">
            <v>TH-15</v>
          </cell>
          <cell r="D684">
            <v>2021</v>
          </cell>
          <cell r="E684">
            <v>2.965789424</v>
          </cell>
        </row>
        <row r="685">
          <cell r="A685" t="str">
            <v>TH-44</v>
          </cell>
          <cell r="D685">
            <v>2021</v>
          </cell>
          <cell r="E685">
            <v>0.83840669199999995</v>
          </cell>
        </row>
        <row r="686">
          <cell r="A686" t="str">
            <v>TH-92</v>
          </cell>
          <cell r="D686">
            <v>2021</v>
          </cell>
          <cell r="E686">
            <v>0.89136484800000004</v>
          </cell>
        </row>
        <row r="687">
          <cell r="A687" t="str">
            <v>TH-72</v>
          </cell>
          <cell r="D687">
            <v>2021</v>
          </cell>
          <cell r="E687">
            <v>1.446859095</v>
          </cell>
        </row>
        <row r="688">
          <cell r="A688" t="str">
            <v>TH-17</v>
          </cell>
          <cell r="D688">
            <v>2021</v>
          </cell>
          <cell r="E688">
            <v>2.5741505579999999</v>
          </cell>
        </row>
        <row r="689">
          <cell r="A689" t="str">
            <v>TH-75</v>
          </cell>
          <cell r="D689">
            <v>2021</v>
          </cell>
          <cell r="E689">
            <v>4.7034899479999996</v>
          </cell>
        </row>
        <row r="690">
          <cell r="A690" t="str">
            <v>TH-21</v>
          </cell>
          <cell r="D690">
            <v>2021</v>
          </cell>
          <cell r="E690">
            <v>6.9968827830000002</v>
          </cell>
        </row>
        <row r="691">
          <cell r="A691" t="str">
            <v>TH-25</v>
          </cell>
          <cell r="D691">
            <v>2021</v>
          </cell>
          <cell r="E691">
            <v>1.1562653030000001</v>
          </cell>
        </row>
        <row r="692">
          <cell r="A692" t="str">
            <v>TH-45</v>
          </cell>
          <cell r="D692">
            <v>2021</v>
          </cell>
          <cell r="E692">
            <v>0.73812492500000004</v>
          </cell>
        </row>
        <row r="693">
          <cell r="A693" t="str">
            <v>TH-56</v>
          </cell>
          <cell r="D693">
            <v>2021</v>
          </cell>
          <cell r="E693">
            <v>0.39307558399999998</v>
          </cell>
        </row>
        <row r="694">
          <cell r="A694" t="str">
            <v>TH-60</v>
          </cell>
          <cell r="D694">
            <v>2021</v>
          </cell>
          <cell r="E694">
            <v>0.71186440299999998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p95-21"/>
      <sheetName val="Sheet1"/>
    </sheetNames>
    <sheetDataSet>
      <sheetData sheetId="0"/>
      <sheetData sheetId="1">
        <row r="1">
          <cell r="C1">
            <v>1995</v>
          </cell>
          <cell r="D1">
            <v>1996</v>
          </cell>
          <cell r="E1">
            <v>1997</v>
          </cell>
          <cell r="F1">
            <v>1998</v>
          </cell>
          <cell r="G1">
            <v>1999</v>
          </cell>
          <cell r="H1">
            <v>2000</v>
          </cell>
          <cell r="I1">
            <v>2001</v>
          </cell>
          <cell r="J1">
            <v>2002</v>
          </cell>
          <cell r="K1">
            <v>2003</v>
          </cell>
          <cell r="L1">
            <v>2004</v>
          </cell>
          <cell r="M1">
            <v>2005</v>
          </cell>
          <cell r="N1">
            <v>2006</v>
          </cell>
          <cell r="O1">
            <v>2007</v>
          </cell>
          <cell r="P1">
            <v>2008</v>
          </cell>
          <cell r="Q1">
            <v>2009</v>
          </cell>
          <cell r="R1">
            <v>2010</v>
          </cell>
          <cell r="S1">
            <v>2011</v>
          </cell>
          <cell r="T1">
            <v>2012</v>
          </cell>
          <cell r="U1">
            <v>2013</v>
          </cell>
          <cell r="V1">
            <v>2014</v>
          </cell>
          <cell r="W1">
            <v>2015</v>
          </cell>
          <cell r="X1">
            <v>2016</v>
          </cell>
          <cell r="Y1">
            <v>2017</v>
          </cell>
          <cell r="Z1">
            <v>2018</v>
          </cell>
          <cell r="AA1">
            <v>2019</v>
          </cell>
          <cell r="AB1">
            <v>2020</v>
          </cell>
          <cell r="AC1">
            <v>2021</v>
          </cell>
        </row>
        <row r="2">
          <cell r="B2" t="str">
            <v>Khon Kaen</v>
          </cell>
          <cell r="C2">
            <v>1703</v>
          </cell>
          <cell r="D2">
            <v>1716</v>
          </cell>
          <cell r="E2">
            <v>1729</v>
          </cell>
          <cell r="F2">
            <v>1742</v>
          </cell>
          <cell r="G2">
            <v>1756</v>
          </cell>
          <cell r="H2">
            <v>1769</v>
          </cell>
          <cell r="I2">
            <v>1769</v>
          </cell>
          <cell r="J2">
            <v>1769</v>
          </cell>
          <cell r="K2">
            <v>1769</v>
          </cell>
          <cell r="L2">
            <v>1767</v>
          </cell>
          <cell r="M2">
            <v>1765</v>
          </cell>
          <cell r="N2">
            <v>1762</v>
          </cell>
          <cell r="O2">
            <v>1758</v>
          </cell>
          <cell r="P2">
            <v>1753</v>
          </cell>
          <cell r="Q2">
            <v>1747</v>
          </cell>
          <cell r="R2">
            <v>1741</v>
          </cell>
          <cell r="S2">
            <v>1738</v>
          </cell>
          <cell r="T2">
            <v>1735</v>
          </cell>
          <cell r="U2">
            <v>1732</v>
          </cell>
          <cell r="V2">
            <v>1729</v>
          </cell>
          <cell r="W2">
            <v>1726</v>
          </cell>
          <cell r="X2">
            <v>1723</v>
          </cell>
          <cell r="Y2">
            <v>1721</v>
          </cell>
          <cell r="Z2">
            <v>1718</v>
          </cell>
          <cell r="AA2">
            <v>1716</v>
          </cell>
          <cell r="AB2">
            <v>1714</v>
          </cell>
          <cell r="AC2">
            <v>1711</v>
          </cell>
        </row>
        <row r="3">
          <cell r="B3" t="str">
            <v>Udon Thani</v>
          </cell>
          <cell r="C3">
            <v>1420</v>
          </cell>
          <cell r="D3">
            <v>1436</v>
          </cell>
          <cell r="E3">
            <v>1451</v>
          </cell>
          <cell r="F3">
            <v>1467</v>
          </cell>
          <cell r="G3">
            <v>1483</v>
          </cell>
          <cell r="H3">
            <v>1499</v>
          </cell>
          <cell r="I3">
            <v>1479</v>
          </cell>
          <cell r="J3">
            <v>1459</v>
          </cell>
          <cell r="K3">
            <v>1439</v>
          </cell>
          <cell r="L3">
            <v>1418</v>
          </cell>
          <cell r="M3">
            <v>1397</v>
          </cell>
          <cell r="N3">
            <v>1376</v>
          </cell>
          <cell r="O3">
            <v>1354</v>
          </cell>
          <cell r="P3">
            <v>1332</v>
          </cell>
          <cell r="Q3">
            <v>1310</v>
          </cell>
          <cell r="R3">
            <v>1288</v>
          </cell>
          <cell r="S3">
            <v>1286</v>
          </cell>
          <cell r="T3">
            <v>1284</v>
          </cell>
          <cell r="U3">
            <v>1282</v>
          </cell>
          <cell r="V3">
            <v>1280</v>
          </cell>
          <cell r="W3">
            <v>1278</v>
          </cell>
          <cell r="X3">
            <v>1273</v>
          </cell>
          <cell r="Y3">
            <v>1270</v>
          </cell>
          <cell r="Z3">
            <v>1266</v>
          </cell>
          <cell r="AA3">
            <v>1262</v>
          </cell>
          <cell r="AB3">
            <v>1257</v>
          </cell>
          <cell r="AC3">
            <v>1253</v>
          </cell>
        </row>
        <row r="4">
          <cell r="B4" t="str">
            <v>Loei</v>
          </cell>
          <cell r="C4">
            <v>580</v>
          </cell>
          <cell r="D4">
            <v>589</v>
          </cell>
          <cell r="E4">
            <v>597</v>
          </cell>
          <cell r="F4">
            <v>605</v>
          </cell>
          <cell r="G4">
            <v>613</v>
          </cell>
          <cell r="H4">
            <v>622</v>
          </cell>
          <cell r="I4">
            <v>615</v>
          </cell>
          <cell r="J4">
            <v>608</v>
          </cell>
          <cell r="K4">
            <v>601</v>
          </cell>
          <cell r="L4">
            <v>593</v>
          </cell>
          <cell r="M4">
            <v>586</v>
          </cell>
          <cell r="N4">
            <v>578</v>
          </cell>
          <cell r="O4">
            <v>570</v>
          </cell>
          <cell r="P4">
            <v>562</v>
          </cell>
          <cell r="Q4">
            <v>554</v>
          </cell>
          <cell r="R4">
            <v>546</v>
          </cell>
          <cell r="S4">
            <v>545</v>
          </cell>
          <cell r="T4">
            <v>545</v>
          </cell>
          <cell r="U4">
            <v>545</v>
          </cell>
          <cell r="V4">
            <v>544</v>
          </cell>
          <cell r="W4">
            <v>544</v>
          </cell>
          <cell r="X4">
            <v>544</v>
          </cell>
          <cell r="Y4">
            <v>544</v>
          </cell>
          <cell r="Z4">
            <v>543</v>
          </cell>
          <cell r="AA4">
            <v>542</v>
          </cell>
          <cell r="AB4">
            <v>540</v>
          </cell>
          <cell r="AC4">
            <v>538</v>
          </cell>
        </row>
        <row r="5">
          <cell r="B5" t="str">
            <v>Nong Khai</v>
          </cell>
          <cell r="C5">
            <v>852</v>
          </cell>
          <cell r="D5">
            <v>862</v>
          </cell>
          <cell r="E5">
            <v>872</v>
          </cell>
          <cell r="F5">
            <v>882</v>
          </cell>
          <cell r="G5">
            <v>892</v>
          </cell>
          <cell r="H5">
            <v>902</v>
          </cell>
          <cell r="I5">
            <v>895</v>
          </cell>
          <cell r="J5">
            <v>888</v>
          </cell>
          <cell r="K5">
            <v>881</v>
          </cell>
          <cell r="L5">
            <v>873</v>
          </cell>
          <cell r="M5">
            <v>865</v>
          </cell>
          <cell r="N5">
            <v>857</v>
          </cell>
          <cell r="O5">
            <v>849</v>
          </cell>
          <cell r="P5">
            <v>840</v>
          </cell>
          <cell r="Q5">
            <v>831</v>
          </cell>
          <cell r="R5">
            <v>821</v>
          </cell>
          <cell r="S5">
            <v>458</v>
          </cell>
          <cell r="T5">
            <v>458</v>
          </cell>
          <cell r="U5">
            <v>458</v>
          </cell>
          <cell r="V5">
            <v>457</v>
          </cell>
          <cell r="W5">
            <v>457</v>
          </cell>
          <cell r="X5">
            <v>457</v>
          </cell>
          <cell r="Y5">
            <v>457</v>
          </cell>
          <cell r="Z5">
            <v>456</v>
          </cell>
          <cell r="AA5">
            <v>456</v>
          </cell>
          <cell r="AB5">
            <v>455</v>
          </cell>
          <cell r="AC5">
            <v>455</v>
          </cell>
        </row>
        <row r="6">
          <cell r="B6" t="str">
            <v>Mukdahan</v>
          </cell>
          <cell r="C6">
            <v>293</v>
          </cell>
          <cell r="D6">
            <v>298</v>
          </cell>
          <cell r="E6">
            <v>304</v>
          </cell>
          <cell r="F6">
            <v>310</v>
          </cell>
          <cell r="G6">
            <v>315</v>
          </cell>
          <cell r="H6">
            <v>321</v>
          </cell>
          <cell r="I6">
            <v>325</v>
          </cell>
          <cell r="J6">
            <v>329</v>
          </cell>
          <cell r="K6">
            <v>333</v>
          </cell>
          <cell r="L6">
            <v>337</v>
          </cell>
          <cell r="M6">
            <v>340</v>
          </cell>
          <cell r="N6">
            <v>344</v>
          </cell>
          <cell r="O6">
            <v>348</v>
          </cell>
          <cell r="P6">
            <v>351</v>
          </cell>
          <cell r="Q6">
            <v>354</v>
          </cell>
          <cell r="R6">
            <v>357</v>
          </cell>
          <cell r="S6">
            <v>363</v>
          </cell>
          <cell r="T6">
            <v>368</v>
          </cell>
          <cell r="U6">
            <v>374</v>
          </cell>
          <cell r="V6">
            <v>379</v>
          </cell>
          <cell r="W6">
            <v>385</v>
          </cell>
          <cell r="X6">
            <v>391</v>
          </cell>
          <cell r="Y6">
            <v>398</v>
          </cell>
          <cell r="Z6">
            <v>404</v>
          </cell>
          <cell r="AA6">
            <v>410</v>
          </cell>
          <cell r="AB6">
            <v>416</v>
          </cell>
          <cell r="AC6">
            <v>422</v>
          </cell>
        </row>
        <row r="7">
          <cell r="B7" t="str">
            <v>Nakhon Phanom</v>
          </cell>
          <cell r="C7">
            <v>664</v>
          </cell>
          <cell r="D7">
            <v>671</v>
          </cell>
          <cell r="E7">
            <v>678</v>
          </cell>
          <cell r="F7">
            <v>686</v>
          </cell>
          <cell r="G7">
            <v>693</v>
          </cell>
          <cell r="H7">
            <v>700</v>
          </cell>
          <cell r="I7">
            <v>689</v>
          </cell>
          <cell r="J7">
            <v>677</v>
          </cell>
          <cell r="K7">
            <v>666</v>
          </cell>
          <cell r="L7">
            <v>654</v>
          </cell>
          <cell r="M7">
            <v>643</v>
          </cell>
          <cell r="N7">
            <v>631</v>
          </cell>
          <cell r="O7">
            <v>619</v>
          </cell>
          <cell r="P7">
            <v>607</v>
          </cell>
          <cell r="Q7">
            <v>595</v>
          </cell>
          <cell r="R7">
            <v>583</v>
          </cell>
          <cell r="S7">
            <v>581</v>
          </cell>
          <cell r="T7">
            <v>579</v>
          </cell>
          <cell r="U7">
            <v>577</v>
          </cell>
          <cell r="V7">
            <v>575</v>
          </cell>
          <cell r="W7">
            <v>573</v>
          </cell>
          <cell r="X7">
            <v>568</v>
          </cell>
          <cell r="Y7">
            <v>565</v>
          </cell>
          <cell r="Z7">
            <v>561</v>
          </cell>
          <cell r="AA7">
            <v>557</v>
          </cell>
          <cell r="AB7">
            <v>552</v>
          </cell>
          <cell r="AC7">
            <v>548</v>
          </cell>
        </row>
        <row r="8">
          <cell r="B8" t="str">
            <v>Sakon Nakhon</v>
          </cell>
          <cell r="C8">
            <v>1007</v>
          </cell>
          <cell r="D8">
            <v>1018</v>
          </cell>
          <cell r="E8">
            <v>1029</v>
          </cell>
          <cell r="F8">
            <v>1040</v>
          </cell>
          <cell r="G8">
            <v>1051</v>
          </cell>
          <cell r="H8">
            <v>1063</v>
          </cell>
          <cell r="I8">
            <v>1038</v>
          </cell>
          <cell r="J8">
            <v>1014</v>
          </cell>
          <cell r="K8">
            <v>989</v>
          </cell>
          <cell r="L8">
            <v>965</v>
          </cell>
          <cell r="M8">
            <v>941</v>
          </cell>
          <cell r="N8">
            <v>917</v>
          </cell>
          <cell r="O8">
            <v>894</v>
          </cell>
          <cell r="P8">
            <v>870</v>
          </cell>
          <cell r="Q8">
            <v>847</v>
          </cell>
          <cell r="R8">
            <v>941</v>
          </cell>
          <cell r="S8">
            <v>940</v>
          </cell>
          <cell r="T8">
            <v>939</v>
          </cell>
          <cell r="U8">
            <v>938</v>
          </cell>
          <cell r="V8">
            <v>937</v>
          </cell>
          <cell r="W8">
            <v>936</v>
          </cell>
          <cell r="X8">
            <v>932</v>
          </cell>
          <cell r="Y8">
            <v>929</v>
          </cell>
          <cell r="Z8">
            <v>925</v>
          </cell>
          <cell r="AA8">
            <v>922</v>
          </cell>
          <cell r="AB8">
            <v>918</v>
          </cell>
          <cell r="AC8">
            <v>914</v>
          </cell>
        </row>
        <row r="9">
          <cell r="B9" t="str">
            <v>Kalasin</v>
          </cell>
          <cell r="C9">
            <v>897</v>
          </cell>
          <cell r="D9">
            <v>906</v>
          </cell>
          <cell r="E9">
            <v>915</v>
          </cell>
          <cell r="F9">
            <v>924</v>
          </cell>
          <cell r="G9">
            <v>933</v>
          </cell>
          <cell r="H9">
            <v>942</v>
          </cell>
          <cell r="I9">
            <v>943</v>
          </cell>
          <cell r="J9">
            <v>945</v>
          </cell>
          <cell r="K9">
            <v>946</v>
          </cell>
          <cell r="L9">
            <v>946</v>
          </cell>
          <cell r="M9">
            <v>947</v>
          </cell>
          <cell r="N9">
            <v>946</v>
          </cell>
          <cell r="O9">
            <v>946</v>
          </cell>
          <cell r="P9">
            <v>945</v>
          </cell>
          <cell r="Q9">
            <v>943</v>
          </cell>
          <cell r="R9">
            <v>824</v>
          </cell>
          <cell r="S9">
            <v>822</v>
          </cell>
          <cell r="T9">
            <v>820</v>
          </cell>
          <cell r="U9">
            <v>818</v>
          </cell>
          <cell r="V9">
            <v>815</v>
          </cell>
          <cell r="W9">
            <v>813</v>
          </cell>
          <cell r="X9">
            <v>809</v>
          </cell>
          <cell r="Y9">
            <v>805</v>
          </cell>
          <cell r="Z9">
            <v>801</v>
          </cell>
          <cell r="AA9">
            <v>797</v>
          </cell>
          <cell r="AB9">
            <v>792</v>
          </cell>
          <cell r="AC9">
            <v>788</v>
          </cell>
        </row>
        <row r="10">
          <cell r="B10" t="str">
            <v>Nakhon Ratchasima</v>
          </cell>
          <cell r="C10">
            <v>2502</v>
          </cell>
          <cell r="D10">
            <v>2524</v>
          </cell>
          <cell r="E10">
            <v>2545</v>
          </cell>
          <cell r="F10">
            <v>2567</v>
          </cell>
          <cell r="G10">
            <v>2588</v>
          </cell>
          <cell r="H10">
            <v>2609</v>
          </cell>
          <cell r="I10">
            <v>2606</v>
          </cell>
          <cell r="J10">
            <v>2601</v>
          </cell>
          <cell r="K10">
            <v>2596</v>
          </cell>
          <cell r="L10">
            <v>2589</v>
          </cell>
          <cell r="M10">
            <v>2581</v>
          </cell>
          <cell r="N10">
            <v>2572</v>
          </cell>
          <cell r="O10">
            <v>2562</v>
          </cell>
          <cell r="P10">
            <v>2551</v>
          </cell>
          <cell r="Q10">
            <v>2538</v>
          </cell>
          <cell r="R10">
            <v>2525</v>
          </cell>
          <cell r="S10">
            <v>2523</v>
          </cell>
          <cell r="T10">
            <v>2522</v>
          </cell>
          <cell r="U10">
            <v>2521</v>
          </cell>
          <cell r="V10">
            <v>2520</v>
          </cell>
          <cell r="W10">
            <v>2518</v>
          </cell>
          <cell r="X10">
            <v>2517</v>
          </cell>
          <cell r="Y10">
            <v>2516</v>
          </cell>
          <cell r="Z10">
            <v>2515</v>
          </cell>
          <cell r="AA10">
            <v>2511</v>
          </cell>
          <cell r="AB10">
            <v>2507</v>
          </cell>
          <cell r="AC10">
            <v>2502</v>
          </cell>
        </row>
        <row r="11">
          <cell r="B11" t="str">
            <v>Chaiyaphum</v>
          </cell>
          <cell r="C11">
            <v>1062</v>
          </cell>
          <cell r="D11">
            <v>1073</v>
          </cell>
          <cell r="E11">
            <v>1084</v>
          </cell>
          <cell r="F11">
            <v>1096</v>
          </cell>
          <cell r="G11">
            <v>1107</v>
          </cell>
          <cell r="H11">
            <v>1118</v>
          </cell>
          <cell r="I11">
            <v>1104</v>
          </cell>
          <cell r="J11">
            <v>1089</v>
          </cell>
          <cell r="K11">
            <v>1074</v>
          </cell>
          <cell r="L11">
            <v>1059</v>
          </cell>
          <cell r="M11">
            <v>1044</v>
          </cell>
          <cell r="N11">
            <v>1028</v>
          </cell>
          <cell r="O11">
            <v>1012</v>
          </cell>
          <cell r="P11">
            <v>996</v>
          </cell>
          <cell r="Q11">
            <v>980</v>
          </cell>
          <cell r="R11">
            <v>963</v>
          </cell>
          <cell r="S11">
            <v>962</v>
          </cell>
          <cell r="T11">
            <v>960</v>
          </cell>
          <cell r="U11">
            <v>959</v>
          </cell>
          <cell r="V11">
            <v>958</v>
          </cell>
          <cell r="W11">
            <v>956</v>
          </cell>
          <cell r="X11">
            <v>951</v>
          </cell>
          <cell r="Y11">
            <v>947</v>
          </cell>
          <cell r="Z11">
            <v>942</v>
          </cell>
          <cell r="AA11">
            <v>936</v>
          </cell>
          <cell r="AB11">
            <v>931</v>
          </cell>
          <cell r="AC11">
            <v>926</v>
          </cell>
        </row>
        <row r="12">
          <cell r="B12" t="str">
            <v>Yasothon</v>
          </cell>
          <cell r="C12">
            <v>555</v>
          </cell>
          <cell r="D12">
            <v>559</v>
          </cell>
          <cell r="E12">
            <v>564</v>
          </cell>
          <cell r="F12">
            <v>568</v>
          </cell>
          <cell r="G12">
            <v>572</v>
          </cell>
          <cell r="H12">
            <v>577</v>
          </cell>
          <cell r="I12">
            <v>568</v>
          </cell>
          <cell r="J12">
            <v>560</v>
          </cell>
          <cell r="K12">
            <v>551</v>
          </cell>
          <cell r="L12">
            <v>542</v>
          </cell>
          <cell r="M12">
            <v>533</v>
          </cell>
          <cell r="N12">
            <v>524</v>
          </cell>
          <cell r="O12">
            <v>515</v>
          </cell>
          <cell r="P12">
            <v>506</v>
          </cell>
          <cell r="Q12">
            <v>497</v>
          </cell>
          <cell r="R12">
            <v>488</v>
          </cell>
          <cell r="S12">
            <v>485</v>
          </cell>
          <cell r="T12">
            <v>482</v>
          </cell>
          <cell r="U12">
            <v>480</v>
          </cell>
          <cell r="V12">
            <v>477</v>
          </cell>
          <cell r="W12">
            <v>474</v>
          </cell>
          <cell r="X12">
            <v>470</v>
          </cell>
          <cell r="Y12">
            <v>467</v>
          </cell>
          <cell r="Z12">
            <v>463</v>
          </cell>
          <cell r="AA12">
            <v>459</v>
          </cell>
          <cell r="AB12">
            <v>455</v>
          </cell>
          <cell r="AC12">
            <v>451</v>
          </cell>
        </row>
        <row r="13">
          <cell r="B13" t="str">
            <v>Ubon Ratchathani</v>
          </cell>
          <cell r="C13">
            <v>1641</v>
          </cell>
          <cell r="D13">
            <v>1658</v>
          </cell>
          <cell r="E13">
            <v>1675</v>
          </cell>
          <cell r="F13">
            <v>1692</v>
          </cell>
          <cell r="G13">
            <v>1709</v>
          </cell>
          <cell r="H13">
            <v>1727</v>
          </cell>
          <cell r="I13">
            <v>1732</v>
          </cell>
          <cell r="J13">
            <v>1737</v>
          </cell>
          <cell r="K13">
            <v>1740</v>
          </cell>
          <cell r="L13">
            <v>1744</v>
          </cell>
          <cell r="M13">
            <v>1746</v>
          </cell>
          <cell r="N13">
            <v>1748</v>
          </cell>
          <cell r="O13">
            <v>1748</v>
          </cell>
          <cell r="P13">
            <v>1748</v>
          </cell>
          <cell r="Q13">
            <v>1747</v>
          </cell>
          <cell r="R13">
            <v>1746</v>
          </cell>
          <cell r="S13">
            <v>1745</v>
          </cell>
          <cell r="T13">
            <v>1744</v>
          </cell>
          <cell r="U13">
            <v>1743</v>
          </cell>
          <cell r="V13">
            <v>1742</v>
          </cell>
          <cell r="W13">
            <v>1741</v>
          </cell>
          <cell r="X13">
            <v>1739</v>
          </cell>
          <cell r="Y13">
            <v>1739</v>
          </cell>
          <cell r="Z13">
            <v>1738</v>
          </cell>
          <cell r="AA13">
            <v>1737</v>
          </cell>
          <cell r="AB13">
            <v>1735</v>
          </cell>
          <cell r="AC13">
            <v>1733</v>
          </cell>
        </row>
        <row r="14">
          <cell r="B14" t="str">
            <v>Roi Et</v>
          </cell>
          <cell r="C14">
            <v>1207</v>
          </cell>
          <cell r="D14">
            <v>1222</v>
          </cell>
          <cell r="E14">
            <v>1237</v>
          </cell>
          <cell r="F14">
            <v>1253</v>
          </cell>
          <cell r="G14">
            <v>1268</v>
          </cell>
          <cell r="H14">
            <v>1284</v>
          </cell>
          <cell r="I14">
            <v>1265</v>
          </cell>
          <cell r="J14">
            <v>1246</v>
          </cell>
          <cell r="K14">
            <v>1226</v>
          </cell>
          <cell r="L14">
            <v>1207</v>
          </cell>
          <cell r="M14">
            <v>1187</v>
          </cell>
          <cell r="N14">
            <v>1167</v>
          </cell>
          <cell r="O14">
            <v>1146</v>
          </cell>
          <cell r="P14">
            <v>1126</v>
          </cell>
          <cell r="Q14">
            <v>1105</v>
          </cell>
          <cell r="R14">
            <v>1084</v>
          </cell>
          <cell r="S14">
            <v>1084</v>
          </cell>
          <cell r="T14">
            <v>1084</v>
          </cell>
          <cell r="U14">
            <v>1084</v>
          </cell>
          <cell r="V14">
            <v>1084</v>
          </cell>
          <cell r="W14">
            <v>1084</v>
          </cell>
          <cell r="X14">
            <v>1079</v>
          </cell>
          <cell r="Y14">
            <v>1073</v>
          </cell>
          <cell r="Z14">
            <v>1068</v>
          </cell>
          <cell r="AA14">
            <v>1062</v>
          </cell>
          <cell r="AB14">
            <v>1056</v>
          </cell>
          <cell r="AC14">
            <v>1050</v>
          </cell>
        </row>
        <row r="15">
          <cell r="B15" t="str">
            <v>Buri Ram</v>
          </cell>
          <cell r="C15">
            <v>1447</v>
          </cell>
          <cell r="D15">
            <v>1462</v>
          </cell>
          <cell r="E15">
            <v>1478</v>
          </cell>
          <cell r="F15">
            <v>1494</v>
          </cell>
          <cell r="G15">
            <v>1510</v>
          </cell>
          <cell r="H15">
            <v>1526</v>
          </cell>
          <cell r="I15">
            <v>1502</v>
          </cell>
          <cell r="J15">
            <v>1477</v>
          </cell>
          <cell r="K15">
            <v>1452</v>
          </cell>
          <cell r="L15">
            <v>1427</v>
          </cell>
          <cell r="M15">
            <v>1402</v>
          </cell>
          <cell r="N15">
            <v>1377</v>
          </cell>
          <cell r="O15">
            <v>1351</v>
          </cell>
          <cell r="P15">
            <v>1326</v>
          </cell>
          <cell r="Q15">
            <v>1300</v>
          </cell>
          <cell r="R15">
            <v>1274</v>
          </cell>
          <cell r="S15">
            <v>1268</v>
          </cell>
          <cell r="T15">
            <v>1262</v>
          </cell>
          <cell r="U15">
            <v>1257</v>
          </cell>
          <cell r="V15">
            <v>1251</v>
          </cell>
          <cell r="W15">
            <v>1245</v>
          </cell>
          <cell r="X15">
            <v>1239</v>
          </cell>
          <cell r="Y15">
            <v>1233</v>
          </cell>
          <cell r="Z15">
            <v>1228</v>
          </cell>
          <cell r="AA15">
            <v>1219</v>
          </cell>
          <cell r="AB15">
            <v>1210</v>
          </cell>
          <cell r="AC15">
            <v>1201</v>
          </cell>
        </row>
        <row r="16">
          <cell r="B16" t="str">
            <v>Surin</v>
          </cell>
          <cell r="C16">
            <v>1293</v>
          </cell>
          <cell r="D16">
            <v>1305</v>
          </cell>
          <cell r="E16">
            <v>1318</v>
          </cell>
          <cell r="F16">
            <v>1330</v>
          </cell>
          <cell r="G16">
            <v>1343</v>
          </cell>
          <cell r="H16">
            <v>1356</v>
          </cell>
          <cell r="I16">
            <v>1333</v>
          </cell>
          <cell r="J16">
            <v>1310</v>
          </cell>
          <cell r="K16">
            <v>1287</v>
          </cell>
          <cell r="L16">
            <v>1264</v>
          </cell>
          <cell r="M16">
            <v>1240</v>
          </cell>
          <cell r="N16">
            <v>1217</v>
          </cell>
          <cell r="O16">
            <v>1193</v>
          </cell>
          <cell r="P16">
            <v>1170</v>
          </cell>
          <cell r="Q16">
            <v>1146</v>
          </cell>
          <cell r="R16">
            <v>1122</v>
          </cell>
          <cell r="S16">
            <v>1118</v>
          </cell>
          <cell r="T16">
            <v>1114</v>
          </cell>
          <cell r="U16">
            <v>1110</v>
          </cell>
          <cell r="V16">
            <v>1106</v>
          </cell>
          <cell r="W16">
            <v>1101</v>
          </cell>
          <cell r="X16">
            <v>1092</v>
          </cell>
          <cell r="Y16">
            <v>1084</v>
          </cell>
          <cell r="Z16">
            <v>1076</v>
          </cell>
          <cell r="AA16">
            <v>1067</v>
          </cell>
          <cell r="AB16">
            <v>1058</v>
          </cell>
          <cell r="AC16">
            <v>1050</v>
          </cell>
        </row>
        <row r="17">
          <cell r="B17" t="str">
            <v>Maha Sarakham</v>
          </cell>
          <cell r="C17">
            <v>926</v>
          </cell>
          <cell r="D17">
            <v>934</v>
          </cell>
          <cell r="E17">
            <v>942</v>
          </cell>
          <cell r="F17">
            <v>950</v>
          </cell>
          <cell r="G17">
            <v>958</v>
          </cell>
          <cell r="H17">
            <v>966</v>
          </cell>
          <cell r="I17">
            <v>953</v>
          </cell>
          <cell r="J17">
            <v>939</v>
          </cell>
          <cell r="K17">
            <v>926</v>
          </cell>
          <cell r="L17">
            <v>912</v>
          </cell>
          <cell r="M17">
            <v>899</v>
          </cell>
          <cell r="N17">
            <v>885</v>
          </cell>
          <cell r="O17">
            <v>871</v>
          </cell>
          <cell r="P17">
            <v>856</v>
          </cell>
          <cell r="Q17">
            <v>842</v>
          </cell>
          <cell r="R17">
            <v>827</v>
          </cell>
          <cell r="S17">
            <v>823</v>
          </cell>
          <cell r="T17">
            <v>820</v>
          </cell>
          <cell r="U17">
            <v>816</v>
          </cell>
          <cell r="V17">
            <v>812</v>
          </cell>
          <cell r="W17">
            <v>809</v>
          </cell>
          <cell r="X17">
            <v>802</v>
          </cell>
          <cell r="Y17">
            <v>797</v>
          </cell>
          <cell r="Z17">
            <v>792</v>
          </cell>
          <cell r="AA17">
            <v>786</v>
          </cell>
          <cell r="AB17">
            <v>780</v>
          </cell>
          <cell r="AC17">
            <v>775</v>
          </cell>
        </row>
        <row r="18">
          <cell r="B18" t="str">
            <v>Si Sa Ket</v>
          </cell>
          <cell r="C18">
            <v>1366</v>
          </cell>
          <cell r="D18">
            <v>1380</v>
          </cell>
          <cell r="E18">
            <v>1394</v>
          </cell>
          <cell r="F18">
            <v>1408</v>
          </cell>
          <cell r="G18">
            <v>1422</v>
          </cell>
          <cell r="H18">
            <v>1436</v>
          </cell>
          <cell r="I18">
            <v>1395</v>
          </cell>
          <cell r="J18">
            <v>1355</v>
          </cell>
          <cell r="K18">
            <v>1315</v>
          </cell>
          <cell r="L18">
            <v>1276</v>
          </cell>
          <cell r="M18">
            <v>1238</v>
          </cell>
          <cell r="N18">
            <v>1200</v>
          </cell>
          <cell r="O18">
            <v>1163</v>
          </cell>
          <cell r="P18">
            <v>1126</v>
          </cell>
          <cell r="Q18">
            <v>1091</v>
          </cell>
          <cell r="R18">
            <v>1055</v>
          </cell>
          <cell r="S18">
            <v>1048</v>
          </cell>
          <cell r="T18">
            <v>1042</v>
          </cell>
          <cell r="U18">
            <v>1035</v>
          </cell>
          <cell r="V18">
            <v>1028</v>
          </cell>
          <cell r="W18">
            <v>1021</v>
          </cell>
          <cell r="X18">
            <v>1006</v>
          </cell>
          <cell r="Y18">
            <v>993</v>
          </cell>
          <cell r="Z18">
            <v>980</v>
          </cell>
          <cell r="AA18">
            <v>968</v>
          </cell>
          <cell r="AB18">
            <v>956</v>
          </cell>
          <cell r="AC18">
            <v>944</v>
          </cell>
        </row>
        <row r="19">
          <cell r="B19" t="str">
            <v>Nongbua Lamphu</v>
          </cell>
          <cell r="C19">
            <v>469</v>
          </cell>
          <cell r="D19">
            <v>474</v>
          </cell>
          <cell r="E19">
            <v>479</v>
          </cell>
          <cell r="F19">
            <v>484</v>
          </cell>
          <cell r="G19">
            <v>489</v>
          </cell>
          <cell r="H19">
            <v>495</v>
          </cell>
          <cell r="I19">
            <v>495</v>
          </cell>
          <cell r="J19">
            <v>495</v>
          </cell>
          <cell r="K19">
            <v>494</v>
          </cell>
          <cell r="L19">
            <v>494</v>
          </cell>
          <cell r="M19">
            <v>493</v>
          </cell>
          <cell r="N19">
            <v>492</v>
          </cell>
          <cell r="O19">
            <v>491</v>
          </cell>
          <cell r="P19">
            <v>489</v>
          </cell>
          <cell r="Q19">
            <v>488</v>
          </cell>
          <cell r="R19">
            <v>486</v>
          </cell>
          <cell r="S19">
            <v>485</v>
          </cell>
          <cell r="T19">
            <v>485</v>
          </cell>
          <cell r="U19">
            <v>484</v>
          </cell>
          <cell r="V19">
            <v>484</v>
          </cell>
          <cell r="W19">
            <v>483</v>
          </cell>
          <cell r="X19">
            <v>481</v>
          </cell>
          <cell r="Y19">
            <v>480</v>
          </cell>
          <cell r="Z19">
            <v>478</v>
          </cell>
          <cell r="AA19">
            <v>476</v>
          </cell>
          <cell r="AB19">
            <v>474</v>
          </cell>
          <cell r="AC19">
            <v>472</v>
          </cell>
        </row>
        <row r="20">
          <cell r="B20" t="str">
            <v>Amnat Chareon</v>
          </cell>
          <cell r="C20">
            <v>349</v>
          </cell>
          <cell r="D20">
            <v>353</v>
          </cell>
          <cell r="E20">
            <v>357</v>
          </cell>
          <cell r="F20">
            <v>361</v>
          </cell>
          <cell r="G20">
            <v>365</v>
          </cell>
          <cell r="H20">
            <v>369</v>
          </cell>
          <cell r="I20">
            <v>360</v>
          </cell>
          <cell r="J20">
            <v>352</v>
          </cell>
          <cell r="K20">
            <v>343</v>
          </cell>
          <cell r="L20">
            <v>334</v>
          </cell>
          <cell r="M20">
            <v>325</v>
          </cell>
          <cell r="N20">
            <v>317</v>
          </cell>
          <cell r="O20">
            <v>308</v>
          </cell>
          <cell r="P20">
            <v>300</v>
          </cell>
          <cell r="Q20">
            <v>292</v>
          </cell>
          <cell r="R20">
            <v>284</v>
          </cell>
          <cell r="S20">
            <v>283</v>
          </cell>
          <cell r="T20">
            <v>283</v>
          </cell>
          <cell r="U20">
            <v>283</v>
          </cell>
          <cell r="V20">
            <v>283</v>
          </cell>
          <cell r="W20">
            <v>283</v>
          </cell>
          <cell r="X20">
            <v>283</v>
          </cell>
          <cell r="Y20">
            <v>283</v>
          </cell>
          <cell r="Z20">
            <v>282</v>
          </cell>
          <cell r="AA20">
            <v>282</v>
          </cell>
          <cell r="AB20">
            <v>282</v>
          </cell>
          <cell r="AC20">
            <v>282</v>
          </cell>
        </row>
        <row r="21">
          <cell r="B21" t="str">
            <v>Bueng Kan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363</v>
          </cell>
          <cell r="T21">
            <v>363</v>
          </cell>
          <cell r="U21">
            <v>363</v>
          </cell>
          <cell r="V21">
            <v>363</v>
          </cell>
          <cell r="W21">
            <v>363</v>
          </cell>
          <cell r="X21">
            <v>362</v>
          </cell>
          <cell r="Y21">
            <v>361</v>
          </cell>
          <cell r="Z21">
            <v>360</v>
          </cell>
          <cell r="AA21">
            <v>360</v>
          </cell>
          <cell r="AB21">
            <v>359</v>
          </cell>
          <cell r="AC21">
            <v>358</v>
          </cell>
        </row>
        <row r="22">
          <cell r="B22" t="str">
            <v>Chiang Mai</v>
          </cell>
          <cell r="C22">
            <v>1461</v>
          </cell>
          <cell r="D22">
            <v>1474</v>
          </cell>
          <cell r="E22">
            <v>1488</v>
          </cell>
          <cell r="F22">
            <v>1502</v>
          </cell>
          <cell r="G22">
            <v>1516</v>
          </cell>
          <cell r="H22">
            <v>1530</v>
          </cell>
          <cell r="I22">
            <v>1553</v>
          </cell>
          <cell r="J22">
            <v>1575</v>
          </cell>
          <cell r="K22">
            <v>1597</v>
          </cell>
          <cell r="L22">
            <v>1618</v>
          </cell>
          <cell r="M22">
            <v>1639</v>
          </cell>
          <cell r="N22">
            <v>1659</v>
          </cell>
          <cell r="O22">
            <v>1679</v>
          </cell>
          <cell r="P22">
            <v>1699</v>
          </cell>
          <cell r="Q22">
            <v>1717</v>
          </cell>
          <cell r="R22">
            <v>1736</v>
          </cell>
          <cell r="S22">
            <v>1744</v>
          </cell>
          <cell r="T22">
            <v>1753</v>
          </cell>
          <cell r="U22">
            <v>1761</v>
          </cell>
          <cell r="V22">
            <v>1770</v>
          </cell>
          <cell r="W22">
            <v>1779</v>
          </cell>
          <cell r="X22">
            <v>1787</v>
          </cell>
          <cell r="Y22">
            <v>1796</v>
          </cell>
          <cell r="Z22">
            <v>1805</v>
          </cell>
          <cell r="AA22">
            <v>1803</v>
          </cell>
          <cell r="AB22">
            <v>1801</v>
          </cell>
          <cell r="AC22">
            <v>1798</v>
          </cell>
        </row>
        <row r="23">
          <cell r="B23" t="str">
            <v>Lampang</v>
          </cell>
          <cell r="C23">
            <v>770</v>
          </cell>
          <cell r="D23">
            <v>776</v>
          </cell>
          <cell r="E23">
            <v>781</v>
          </cell>
          <cell r="F23">
            <v>787</v>
          </cell>
          <cell r="G23">
            <v>792</v>
          </cell>
          <cell r="H23">
            <v>798</v>
          </cell>
          <cell r="I23">
            <v>794</v>
          </cell>
          <cell r="J23">
            <v>789</v>
          </cell>
          <cell r="K23">
            <v>785</v>
          </cell>
          <cell r="L23">
            <v>780</v>
          </cell>
          <cell r="M23">
            <v>774</v>
          </cell>
          <cell r="N23">
            <v>768</v>
          </cell>
          <cell r="O23">
            <v>762</v>
          </cell>
          <cell r="P23">
            <v>756</v>
          </cell>
          <cell r="Q23">
            <v>750</v>
          </cell>
          <cell r="R23">
            <v>743</v>
          </cell>
          <cell r="S23">
            <v>740</v>
          </cell>
          <cell r="T23">
            <v>737</v>
          </cell>
          <cell r="U23">
            <v>734</v>
          </cell>
          <cell r="V23">
            <v>732</v>
          </cell>
          <cell r="W23">
            <v>729</v>
          </cell>
          <cell r="X23">
            <v>723</v>
          </cell>
          <cell r="Y23">
            <v>720</v>
          </cell>
          <cell r="Z23">
            <v>714</v>
          </cell>
          <cell r="AA23">
            <v>709</v>
          </cell>
          <cell r="AB23">
            <v>704</v>
          </cell>
          <cell r="AC23">
            <v>698</v>
          </cell>
        </row>
        <row r="24">
          <cell r="B24" t="str">
            <v>Uttaradit</v>
          </cell>
          <cell r="C24">
            <v>462</v>
          </cell>
          <cell r="D24">
            <v>464</v>
          </cell>
          <cell r="E24">
            <v>467</v>
          </cell>
          <cell r="F24">
            <v>470</v>
          </cell>
          <cell r="G24">
            <v>472</v>
          </cell>
          <cell r="H24">
            <v>475</v>
          </cell>
          <cell r="I24">
            <v>472</v>
          </cell>
          <cell r="J24">
            <v>469</v>
          </cell>
          <cell r="K24">
            <v>466</v>
          </cell>
          <cell r="L24">
            <v>462</v>
          </cell>
          <cell r="M24">
            <v>459</v>
          </cell>
          <cell r="N24">
            <v>455</v>
          </cell>
          <cell r="O24">
            <v>451</v>
          </cell>
          <cell r="P24">
            <v>447</v>
          </cell>
          <cell r="Q24">
            <v>443</v>
          </cell>
          <cell r="R24">
            <v>438</v>
          </cell>
          <cell r="S24">
            <v>436</v>
          </cell>
          <cell r="T24">
            <v>434</v>
          </cell>
          <cell r="U24">
            <v>431</v>
          </cell>
          <cell r="V24">
            <v>429</v>
          </cell>
          <cell r="W24">
            <v>427</v>
          </cell>
          <cell r="X24">
            <v>423</v>
          </cell>
          <cell r="Y24">
            <v>419</v>
          </cell>
          <cell r="Z24">
            <v>416</v>
          </cell>
          <cell r="AA24">
            <v>412</v>
          </cell>
          <cell r="AB24">
            <v>409</v>
          </cell>
          <cell r="AC24">
            <v>405</v>
          </cell>
        </row>
        <row r="25">
          <cell r="B25" t="str">
            <v>Mae Hong Son</v>
          </cell>
          <cell r="C25">
            <v>188</v>
          </cell>
          <cell r="D25">
            <v>193</v>
          </cell>
          <cell r="E25">
            <v>199</v>
          </cell>
          <cell r="F25">
            <v>205</v>
          </cell>
          <cell r="G25">
            <v>211</v>
          </cell>
          <cell r="H25">
            <v>217</v>
          </cell>
          <cell r="I25">
            <v>217</v>
          </cell>
          <cell r="J25">
            <v>216</v>
          </cell>
          <cell r="K25">
            <v>216</v>
          </cell>
          <cell r="L25">
            <v>215</v>
          </cell>
          <cell r="M25">
            <v>214</v>
          </cell>
          <cell r="N25">
            <v>213</v>
          </cell>
          <cell r="O25">
            <v>212</v>
          </cell>
          <cell r="P25">
            <v>211</v>
          </cell>
          <cell r="Q25">
            <v>210</v>
          </cell>
          <cell r="R25">
            <v>209</v>
          </cell>
          <cell r="S25">
            <v>213</v>
          </cell>
          <cell r="T25">
            <v>216</v>
          </cell>
          <cell r="U25">
            <v>220</v>
          </cell>
          <cell r="V25">
            <v>224</v>
          </cell>
          <cell r="W25">
            <v>228</v>
          </cell>
          <cell r="X25">
            <v>229</v>
          </cell>
          <cell r="Y25">
            <v>233</v>
          </cell>
          <cell r="Z25">
            <v>235</v>
          </cell>
          <cell r="AA25">
            <v>237</v>
          </cell>
          <cell r="AB25">
            <v>239</v>
          </cell>
          <cell r="AC25">
            <v>241</v>
          </cell>
        </row>
        <row r="26">
          <cell r="B26" t="str">
            <v>Chiang Rai</v>
          </cell>
          <cell r="C26">
            <v>1112</v>
          </cell>
          <cell r="D26">
            <v>1120</v>
          </cell>
          <cell r="E26">
            <v>1128</v>
          </cell>
          <cell r="F26">
            <v>1136</v>
          </cell>
          <cell r="G26">
            <v>1144</v>
          </cell>
          <cell r="H26">
            <v>1152</v>
          </cell>
          <cell r="I26">
            <v>1156</v>
          </cell>
          <cell r="J26">
            <v>1160</v>
          </cell>
          <cell r="K26">
            <v>1164</v>
          </cell>
          <cell r="L26">
            <v>1166</v>
          </cell>
          <cell r="M26">
            <v>1169</v>
          </cell>
          <cell r="N26">
            <v>1170</v>
          </cell>
          <cell r="O26">
            <v>1172</v>
          </cell>
          <cell r="P26">
            <v>1172</v>
          </cell>
          <cell r="Q26">
            <v>1172</v>
          </cell>
          <cell r="R26">
            <v>1172</v>
          </cell>
          <cell r="S26">
            <v>1170</v>
          </cell>
          <cell r="T26">
            <v>1168</v>
          </cell>
          <cell r="U26">
            <v>1166</v>
          </cell>
          <cell r="V26">
            <v>1164</v>
          </cell>
          <cell r="W26">
            <v>1162</v>
          </cell>
          <cell r="X26">
            <v>1160</v>
          </cell>
          <cell r="Y26">
            <v>1158</v>
          </cell>
          <cell r="Z26">
            <v>1156</v>
          </cell>
          <cell r="AA26">
            <v>1151</v>
          </cell>
          <cell r="AB26">
            <v>1147</v>
          </cell>
          <cell r="AC26">
            <v>1142</v>
          </cell>
        </row>
        <row r="27">
          <cell r="B27" t="str">
            <v>Phrae</v>
          </cell>
          <cell r="C27">
            <v>498</v>
          </cell>
          <cell r="D27">
            <v>499</v>
          </cell>
          <cell r="E27">
            <v>500</v>
          </cell>
          <cell r="F27">
            <v>501</v>
          </cell>
          <cell r="G27">
            <v>503</v>
          </cell>
          <cell r="H27">
            <v>504</v>
          </cell>
          <cell r="I27">
            <v>496</v>
          </cell>
          <cell r="J27">
            <v>489</v>
          </cell>
          <cell r="K27">
            <v>482</v>
          </cell>
          <cell r="L27">
            <v>474</v>
          </cell>
          <cell r="M27">
            <v>466</v>
          </cell>
          <cell r="N27">
            <v>459</v>
          </cell>
          <cell r="O27">
            <v>451</v>
          </cell>
          <cell r="P27">
            <v>443</v>
          </cell>
          <cell r="Q27">
            <v>435</v>
          </cell>
          <cell r="R27">
            <v>427</v>
          </cell>
          <cell r="S27">
            <v>423</v>
          </cell>
          <cell r="T27">
            <v>418</v>
          </cell>
          <cell r="U27">
            <v>414</v>
          </cell>
          <cell r="V27">
            <v>410</v>
          </cell>
          <cell r="W27">
            <v>405</v>
          </cell>
          <cell r="X27">
            <v>399</v>
          </cell>
          <cell r="Y27">
            <v>394</v>
          </cell>
          <cell r="Z27">
            <v>388</v>
          </cell>
          <cell r="AA27">
            <v>383</v>
          </cell>
          <cell r="AB27">
            <v>378</v>
          </cell>
          <cell r="AC27">
            <v>372</v>
          </cell>
        </row>
        <row r="28">
          <cell r="B28" t="str">
            <v>Lamphun</v>
          </cell>
          <cell r="C28">
            <v>420</v>
          </cell>
          <cell r="D28">
            <v>420</v>
          </cell>
          <cell r="E28">
            <v>421</v>
          </cell>
          <cell r="F28">
            <v>421</v>
          </cell>
          <cell r="G28">
            <v>421</v>
          </cell>
          <cell r="H28">
            <v>422</v>
          </cell>
          <cell r="I28">
            <v>422</v>
          </cell>
          <cell r="J28">
            <v>421</v>
          </cell>
          <cell r="K28">
            <v>421</v>
          </cell>
          <cell r="L28">
            <v>420</v>
          </cell>
          <cell r="M28">
            <v>419</v>
          </cell>
          <cell r="N28">
            <v>418</v>
          </cell>
          <cell r="O28">
            <v>417</v>
          </cell>
          <cell r="P28">
            <v>416</v>
          </cell>
          <cell r="Q28">
            <v>414</v>
          </cell>
          <cell r="R28">
            <v>412</v>
          </cell>
          <cell r="S28">
            <v>411</v>
          </cell>
          <cell r="T28">
            <v>409</v>
          </cell>
          <cell r="U28">
            <v>407</v>
          </cell>
          <cell r="V28">
            <v>405</v>
          </cell>
          <cell r="W28">
            <v>403</v>
          </cell>
          <cell r="X28">
            <v>402</v>
          </cell>
          <cell r="Y28">
            <v>402</v>
          </cell>
          <cell r="Z28">
            <v>399</v>
          </cell>
          <cell r="AA28">
            <v>396</v>
          </cell>
          <cell r="AB28">
            <v>394</v>
          </cell>
          <cell r="AC28">
            <v>391</v>
          </cell>
        </row>
        <row r="29">
          <cell r="B29" t="str">
            <v>Nan</v>
          </cell>
          <cell r="C29">
            <v>446</v>
          </cell>
          <cell r="D29">
            <v>450</v>
          </cell>
          <cell r="E29">
            <v>455</v>
          </cell>
          <cell r="F29">
            <v>459</v>
          </cell>
          <cell r="G29">
            <v>464</v>
          </cell>
          <cell r="H29">
            <v>468</v>
          </cell>
          <cell r="I29">
            <v>467</v>
          </cell>
          <cell r="J29">
            <v>467</v>
          </cell>
          <cell r="K29">
            <v>466</v>
          </cell>
          <cell r="L29">
            <v>464</v>
          </cell>
          <cell r="M29">
            <v>463</v>
          </cell>
          <cell r="N29">
            <v>461</v>
          </cell>
          <cell r="O29">
            <v>459</v>
          </cell>
          <cell r="P29">
            <v>457</v>
          </cell>
          <cell r="Q29">
            <v>455</v>
          </cell>
          <cell r="R29">
            <v>453</v>
          </cell>
          <cell r="S29">
            <v>452</v>
          </cell>
          <cell r="T29">
            <v>452</v>
          </cell>
          <cell r="U29">
            <v>451</v>
          </cell>
          <cell r="V29">
            <v>451</v>
          </cell>
          <cell r="W29">
            <v>450</v>
          </cell>
          <cell r="X29">
            <v>448</v>
          </cell>
          <cell r="Y29">
            <v>447</v>
          </cell>
          <cell r="Z29">
            <v>445</v>
          </cell>
          <cell r="AA29">
            <v>443</v>
          </cell>
          <cell r="AB29">
            <v>441</v>
          </cell>
          <cell r="AC29">
            <v>439</v>
          </cell>
        </row>
        <row r="30">
          <cell r="B30" t="str">
            <v>Phayao</v>
          </cell>
          <cell r="C30">
            <v>499</v>
          </cell>
          <cell r="D30">
            <v>502</v>
          </cell>
          <cell r="E30">
            <v>505</v>
          </cell>
          <cell r="F30">
            <v>508</v>
          </cell>
          <cell r="G30">
            <v>512</v>
          </cell>
          <cell r="H30">
            <v>515</v>
          </cell>
          <cell r="I30">
            <v>505</v>
          </cell>
          <cell r="J30">
            <v>495</v>
          </cell>
          <cell r="K30">
            <v>485</v>
          </cell>
          <cell r="L30">
            <v>476</v>
          </cell>
          <cell r="M30">
            <v>466</v>
          </cell>
          <cell r="N30">
            <v>456</v>
          </cell>
          <cell r="O30">
            <v>446</v>
          </cell>
          <cell r="P30">
            <v>437</v>
          </cell>
          <cell r="Q30">
            <v>427</v>
          </cell>
          <cell r="R30">
            <v>417</v>
          </cell>
          <cell r="S30">
            <v>414</v>
          </cell>
          <cell r="T30">
            <v>411</v>
          </cell>
          <cell r="U30">
            <v>407</v>
          </cell>
          <cell r="V30">
            <v>404</v>
          </cell>
          <cell r="W30">
            <v>401</v>
          </cell>
          <cell r="X30">
            <v>394</v>
          </cell>
          <cell r="Y30">
            <v>389</v>
          </cell>
          <cell r="Z30">
            <v>383</v>
          </cell>
          <cell r="AA30">
            <v>378</v>
          </cell>
          <cell r="AB30">
            <v>372</v>
          </cell>
          <cell r="AC30">
            <v>367</v>
          </cell>
        </row>
        <row r="31">
          <cell r="B31" t="str">
            <v>Nakhon Sawan</v>
          </cell>
          <cell r="C31">
            <v>1086</v>
          </cell>
          <cell r="D31">
            <v>1092</v>
          </cell>
          <cell r="E31">
            <v>1097</v>
          </cell>
          <cell r="F31">
            <v>1102</v>
          </cell>
          <cell r="G31">
            <v>1108</v>
          </cell>
          <cell r="H31">
            <v>1113</v>
          </cell>
          <cell r="I31">
            <v>1102</v>
          </cell>
          <cell r="J31">
            <v>1091</v>
          </cell>
          <cell r="K31">
            <v>1080</v>
          </cell>
          <cell r="L31">
            <v>1069</v>
          </cell>
          <cell r="M31">
            <v>1057</v>
          </cell>
          <cell r="N31">
            <v>1044</v>
          </cell>
          <cell r="O31">
            <v>1032</v>
          </cell>
          <cell r="P31">
            <v>1019</v>
          </cell>
          <cell r="Q31">
            <v>1006</v>
          </cell>
          <cell r="R31">
            <v>992</v>
          </cell>
          <cell r="S31">
            <v>987</v>
          </cell>
          <cell r="T31">
            <v>981</v>
          </cell>
          <cell r="U31">
            <v>976</v>
          </cell>
          <cell r="V31">
            <v>971</v>
          </cell>
          <cell r="W31">
            <v>965</v>
          </cell>
          <cell r="X31">
            <v>956</v>
          </cell>
          <cell r="Y31">
            <v>947</v>
          </cell>
          <cell r="Z31">
            <v>938</v>
          </cell>
          <cell r="AA31">
            <v>929</v>
          </cell>
          <cell r="AB31">
            <v>920</v>
          </cell>
          <cell r="AC31">
            <v>912</v>
          </cell>
        </row>
        <row r="32">
          <cell r="B32" t="str">
            <v>Phitsanulok</v>
          </cell>
          <cell r="C32">
            <v>791</v>
          </cell>
          <cell r="D32">
            <v>795</v>
          </cell>
          <cell r="E32">
            <v>798</v>
          </cell>
          <cell r="F32">
            <v>802</v>
          </cell>
          <cell r="G32">
            <v>806</v>
          </cell>
          <cell r="H32">
            <v>810</v>
          </cell>
          <cell r="I32">
            <v>821</v>
          </cell>
          <cell r="J32">
            <v>832</v>
          </cell>
          <cell r="K32">
            <v>843</v>
          </cell>
          <cell r="L32">
            <v>854</v>
          </cell>
          <cell r="M32">
            <v>864</v>
          </cell>
          <cell r="N32">
            <v>874</v>
          </cell>
          <cell r="O32">
            <v>884</v>
          </cell>
          <cell r="P32">
            <v>894</v>
          </cell>
          <cell r="Q32">
            <v>903</v>
          </cell>
          <cell r="R32">
            <v>912</v>
          </cell>
          <cell r="S32">
            <v>909</v>
          </cell>
          <cell r="T32">
            <v>907</v>
          </cell>
          <cell r="U32">
            <v>904</v>
          </cell>
          <cell r="V32">
            <v>901</v>
          </cell>
          <cell r="W32">
            <v>898</v>
          </cell>
          <cell r="X32">
            <v>898</v>
          </cell>
          <cell r="Y32">
            <v>897</v>
          </cell>
          <cell r="Z32">
            <v>896</v>
          </cell>
          <cell r="AA32">
            <v>896</v>
          </cell>
          <cell r="AB32">
            <v>896</v>
          </cell>
          <cell r="AC32">
            <v>895</v>
          </cell>
        </row>
        <row r="33">
          <cell r="B33" t="str">
            <v>Kam Phaeng Phet</v>
          </cell>
          <cell r="C33">
            <v>672</v>
          </cell>
          <cell r="D33">
            <v>675</v>
          </cell>
          <cell r="E33">
            <v>679</v>
          </cell>
          <cell r="F33">
            <v>682</v>
          </cell>
          <cell r="G33">
            <v>685</v>
          </cell>
          <cell r="H33">
            <v>688</v>
          </cell>
          <cell r="I33">
            <v>700</v>
          </cell>
          <cell r="J33">
            <v>711</v>
          </cell>
          <cell r="K33">
            <v>722</v>
          </cell>
          <cell r="L33">
            <v>734</v>
          </cell>
          <cell r="M33">
            <v>745</v>
          </cell>
          <cell r="N33">
            <v>755</v>
          </cell>
          <cell r="O33">
            <v>766</v>
          </cell>
          <cell r="P33">
            <v>777</v>
          </cell>
          <cell r="Q33">
            <v>787</v>
          </cell>
          <cell r="R33">
            <v>797</v>
          </cell>
          <cell r="S33">
            <v>795</v>
          </cell>
          <cell r="T33">
            <v>793</v>
          </cell>
          <cell r="U33">
            <v>791</v>
          </cell>
          <cell r="V33">
            <v>789</v>
          </cell>
          <cell r="W33">
            <v>787</v>
          </cell>
          <cell r="X33">
            <v>785</v>
          </cell>
          <cell r="Y33">
            <v>783</v>
          </cell>
          <cell r="Z33">
            <v>781</v>
          </cell>
          <cell r="AA33">
            <v>781</v>
          </cell>
          <cell r="AB33">
            <v>781</v>
          </cell>
          <cell r="AC33">
            <v>781</v>
          </cell>
        </row>
        <row r="34">
          <cell r="B34" t="str">
            <v>Uthai Thani</v>
          </cell>
          <cell r="C34">
            <v>305</v>
          </cell>
          <cell r="D34">
            <v>306</v>
          </cell>
          <cell r="E34">
            <v>308</v>
          </cell>
          <cell r="F34">
            <v>309</v>
          </cell>
          <cell r="G34">
            <v>310</v>
          </cell>
          <cell r="H34">
            <v>311</v>
          </cell>
          <cell r="I34">
            <v>310</v>
          </cell>
          <cell r="J34">
            <v>309</v>
          </cell>
          <cell r="K34">
            <v>308</v>
          </cell>
          <cell r="L34">
            <v>307</v>
          </cell>
          <cell r="M34">
            <v>306</v>
          </cell>
          <cell r="N34">
            <v>304</v>
          </cell>
          <cell r="O34">
            <v>303</v>
          </cell>
          <cell r="P34">
            <v>301</v>
          </cell>
          <cell r="Q34">
            <v>299</v>
          </cell>
          <cell r="R34">
            <v>297</v>
          </cell>
          <cell r="S34">
            <v>295</v>
          </cell>
          <cell r="T34">
            <v>293</v>
          </cell>
          <cell r="U34">
            <v>291</v>
          </cell>
          <cell r="V34">
            <v>290</v>
          </cell>
          <cell r="W34">
            <v>288</v>
          </cell>
          <cell r="X34">
            <v>285</v>
          </cell>
          <cell r="Y34">
            <v>283</v>
          </cell>
          <cell r="Z34">
            <v>281</v>
          </cell>
          <cell r="AA34">
            <v>279</v>
          </cell>
          <cell r="AB34">
            <v>276</v>
          </cell>
          <cell r="AC34">
            <v>274</v>
          </cell>
        </row>
        <row r="35">
          <cell r="B35" t="str">
            <v>Sukhothai</v>
          </cell>
          <cell r="C35">
            <v>588</v>
          </cell>
          <cell r="D35">
            <v>592</v>
          </cell>
          <cell r="E35">
            <v>596</v>
          </cell>
          <cell r="F35">
            <v>599</v>
          </cell>
          <cell r="G35">
            <v>603</v>
          </cell>
          <cell r="H35">
            <v>606</v>
          </cell>
          <cell r="I35">
            <v>610</v>
          </cell>
          <cell r="J35">
            <v>613</v>
          </cell>
          <cell r="K35">
            <v>616</v>
          </cell>
          <cell r="L35">
            <v>619</v>
          </cell>
          <cell r="M35">
            <v>621</v>
          </cell>
          <cell r="N35">
            <v>623</v>
          </cell>
          <cell r="O35">
            <v>625</v>
          </cell>
          <cell r="P35">
            <v>627</v>
          </cell>
          <cell r="Q35">
            <v>628</v>
          </cell>
          <cell r="R35">
            <v>629</v>
          </cell>
          <cell r="S35">
            <v>627</v>
          </cell>
          <cell r="T35">
            <v>625</v>
          </cell>
          <cell r="U35">
            <v>623</v>
          </cell>
          <cell r="V35">
            <v>621</v>
          </cell>
          <cell r="W35">
            <v>618</v>
          </cell>
          <cell r="X35">
            <v>616</v>
          </cell>
          <cell r="Y35">
            <v>615</v>
          </cell>
          <cell r="Z35">
            <v>613</v>
          </cell>
          <cell r="AA35">
            <v>612</v>
          </cell>
          <cell r="AB35">
            <v>610</v>
          </cell>
          <cell r="AC35">
            <v>608</v>
          </cell>
        </row>
        <row r="36">
          <cell r="B36" t="str">
            <v>Tak</v>
          </cell>
          <cell r="C36">
            <v>413</v>
          </cell>
          <cell r="D36">
            <v>428</v>
          </cell>
          <cell r="E36">
            <v>445</v>
          </cell>
          <cell r="F36">
            <v>462</v>
          </cell>
          <cell r="G36">
            <v>480</v>
          </cell>
          <cell r="H36">
            <v>498</v>
          </cell>
          <cell r="I36">
            <v>502</v>
          </cell>
          <cell r="J36">
            <v>505</v>
          </cell>
          <cell r="K36">
            <v>508</v>
          </cell>
          <cell r="L36">
            <v>511</v>
          </cell>
          <cell r="M36">
            <v>514</v>
          </cell>
          <cell r="N36">
            <v>517</v>
          </cell>
          <cell r="O36">
            <v>519</v>
          </cell>
          <cell r="P36">
            <v>521</v>
          </cell>
          <cell r="Q36">
            <v>523</v>
          </cell>
          <cell r="R36">
            <v>525</v>
          </cell>
          <cell r="S36">
            <v>526</v>
          </cell>
          <cell r="T36">
            <v>527</v>
          </cell>
          <cell r="U36">
            <v>528</v>
          </cell>
          <cell r="V36">
            <v>529</v>
          </cell>
          <cell r="W36">
            <v>530</v>
          </cell>
          <cell r="X36">
            <v>531</v>
          </cell>
          <cell r="Y36">
            <v>531</v>
          </cell>
          <cell r="Z36">
            <v>532</v>
          </cell>
          <cell r="AA36">
            <v>534</v>
          </cell>
          <cell r="AB36">
            <v>535</v>
          </cell>
          <cell r="AC36">
            <v>536</v>
          </cell>
        </row>
        <row r="37">
          <cell r="B37" t="str">
            <v>Phichit</v>
          </cell>
          <cell r="C37">
            <v>573</v>
          </cell>
          <cell r="D37">
            <v>575</v>
          </cell>
          <cell r="E37">
            <v>578</v>
          </cell>
          <cell r="F37">
            <v>580</v>
          </cell>
          <cell r="G37">
            <v>582</v>
          </cell>
          <cell r="H37">
            <v>585</v>
          </cell>
          <cell r="I37">
            <v>582</v>
          </cell>
          <cell r="J37">
            <v>579</v>
          </cell>
          <cell r="K37">
            <v>576</v>
          </cell>
          <cell r="L37">
            <v>573</v>
          </cell>
          <cell r="M37">
            <v>569</v>
          </cell>
          <cell r="N37">
            <v>565</v>
          </cell>
          <cell r="O37">
            <v>561</v>
          </cell>
          <cell r="P37">
            <v>557</v>
          </cell>
          <cell r="Q37">
            <v>553</v>
          </cell>
          <cell r="R37">
            <v>548</v>
          </cell>
          <cell r="S37">
            <v>545</v>
          </cell>
          <cell r="T37">
            <v>541</v>
          </cell>
          <cell r="U37">
            <v>538</v>
          </cell>
          <cell r="V37">
            <v>535</v>
          </cell>
          <cell r="W37">
            <v>532</v>
          </cell>
          <cell r="X37">
            <v>527</v>
          </cell>
          <cell r="Y37">
            <v>522</v>
          </cell>
          <cell r="Z37">
            <v>518</v>
          </cell>
          <cell r="AA37">
            <v>515</v>
          </cell>
          <cell r="AB37">
            <v>511</v>
          </cell>
          <cell r="AC37">
            <v>507</v>
          </cell>
        </row>
        <row r="38">
          <cell r="B38" t="str">
            <v>Phetchabun</v>
          </cell>
          <cell r="C38">
            <v>936</v>
          </cell>
          <cell r="D38">
            <v>946</v>
          </cell>
          <cell r="E38">
            <v>956</v>
          </cell>
          <cell r="F38">
            <v>967</v>
          </cell>
          <cell r="G38">
            <v>977</v>
          </cell>
          <cell r="H38">
            <v>987</v>
          </cell>
          <cell r="I38">
            <v>984</v>
          </cell>
          <cell r="J38">
            <v>981</v>
          </cell>
          <cell r="K38">
            <v>977</v>
          </cell>
          <cell r="L38">
            <v>973</v>
          </cell>
          <cell r="M38">
            <v>968</v>
          </cell>
          <cell r="N38">
            <v>963</v>
          </cell>
          <cell r="O38">
            <v>958</v>
          </cell>
          <cell r="P38">
            <v>952</v>
          </cell>
          <cell r="Q38">
            <v>946</v>
          </cell>
          <cell r="R38">
            <v>939</v>
          </cell>
          <cell r="S38">
            <v>938</v>
          </cell>
          <cell r="T38">
            <v>937</v>
          </cell>
          <cell r="U38">
            <v>936</v>
          </cell>
          <cell r="V38">
            <v>935</v>
          </cell>
          <cell r="W38">
            <v>934</v>
          </cell>
          <cell r="X38">
            <v>929</v>
          </cell>
          <cell r="Y38">
            <v>925</v>
          </cell>
          <cell r="Z38">
            <v>921</v>
          </cell>
          <cell r="AA38">
            <v>916</v>
          </cell>
          <cell r="AB38">
            <v>911</v>
          </cell>
          <cell r="AC38">
            <v>906</v>
          </cell>
        </row>
        <row r="39">
          <cell r="B39" t="str">
            <v>Phuket</v>
          </cell>
          <cell r="C39">
            <v>211</v>
          </cell>
          <cell r="D39">
            <v>219</v>
          </cell>
          <cell r="E39">
            <v>228</v>
          </cell>
          <cell r="F39">
            <v>237</v>
          </cell>
          <cell r="G39">
            <v>246</v>
          </cell>
          <cell r="H39">
            <v>255</v>
          </cell>
          <cell r="I39">
            <v>275</v>
          </cell>
          <cell r="J39">
            <v>296</v>
          </cell>
          <cell r="K39">
            <v>318</v>
          </cell>
          <cell r="L39">
            <v>342</v>
          </cell>
          <cell r="M39">
            <v>368</v>
          </cell>
          <cell r="N39">
            <v>395</v>
          </cell>
          <cell r="O39">
            <v>425</v>
          </cell>
          <cell r="P39">
            <v>456</v>
          </cell>
          <cell r="Q39">
            <v>489</v>
          </cell>
          <cell r="R39">
            <v>525</v>
          </cell>
          <cell r="S39">
            <v>531</v>
          </cell>
          <cell r="T39">
            <v>538</v>
          </cell>
          <cell r="U39">
            <v>545</v>
          </cell>
          <cell r="V39">
            <v>552</v>
          </cell>
          <cell r="W39">
            <v>559</v>
          </cell>
          <cell r="X39">
            <v>566</v>
          </cell>
          <cell r="Y39">
            <v>573</v>
          </cell>
          <cell r="Z39">
            <v>580</v>
          </cell>
          <cell r="AA39">
            <v>588</v>
          </cell>
          <cell r="AB39">
            <v>595</v>
          </cell>
          <cell r="AC39">
            <v>602</v>
          </cell>
        </row>
        <row r="40">
          <cell r="B40" t="str">
            <v>Surat Thani</v>
          </cell>
          <cell r="C40">
            <v>835</v>
          </cell>
          <cell r="D40">
            <v>845</v>
          </cell>
          <cell r="E40">
            <v>856</v>
          </cell>
          <cell r="F40">
            <v>866</v>
          </cell>
          <cell r="G40">
            <v>877</v>
          </cell>
          <cell r="H40">
            <v>888</v>
          </cell>
          <cell r="I40">
            <v>901</v>
          </cell>
          <cell r="J40">
            <v>914</v>
          </cell>
          <cell r="K40">
            <v>927</v>
          </cell>
          <cell r="L40">
            <v>939</v>
          </cell>
          <cell r="M40">
            <v>951</v>
          </cell>
          <cell r="N40">
            <v>963</v>
          </cell>
          <cell r="O40">
            <v>975</v>
          </cell>
          <cell r="P40">
            <v>986</v>
          </cell>
          <cell r="Q40">
            <v>998</v>
          </cell>
          <cell r="R40">
            <v>1008</v>
          </cell>
          <cell r="S40">
            <v>1028</v>
          </cell>
          <cell r="T40">
            <v>1048</v>
          </cell>
          <cell r="U40">
            <v>1069</v>
          </cell>
          <cell r="V40">
            <v>1089</v>
          </cell>
          <cell r="W40">
            <v>1109</v>
          </cell>
          <cell r="X40">
            <v>1128</v>
          </cell>
          <cell r="Y40">
            <v>1126</v>
          </cell>
          <cell r="Z40">
            <v>1134</v>
          </cell>
          <cell r="AA40">
            <v>1142</v>
          </cell>
          <cell r="AB40">
            <v>1150</v>
          </cell>
          <cell r="AC40">
            <v>1157</v>
          </cell>
        </row>
        <row r="41">
          <cell r="B41" t="str">
            <v>Ranong</v>
          </cell>
          <cell r="C41">
            <v>143</v>
          </cell>
          <cell r="D41">
            <v>147</v>
          </cell>
          <cell r="E41">
            <v>152</v>
          </cell>
          <cell r="F41">
            <v>156</v>
          </cell>
          <cell r="G41">
            <v>161</v>
          </cell>
          <cell r="H41">
            <v>166</v>
          </cell>
          <cell r="I41">
            <v>173</v>
          </cell>
          <cell r="J41">
            <v>180</v>
          </cell>
          <cell r="K41">
            <v>188</v>
          </cell>
          <cell r="L41">
            <v>196</v>
          </cell>
          <cell r="M41">
            <v>204</v>
          </cell>
          <cell r="N41">
            <v>212</v>
          </cell>
          <cell r="O41">
            <v>221</v>
          </cell>
          <cell r="P41">
            <v>230</v>
          </cell>
          <cell r="Q41">
            <v>239</v>
          </cell>
          <cell r="R41">
            <v>248</v>
          </cell>
          <cell r="S41">
            <v>251</v>
          </cell>
          <cell r="T41">
            <v>253</v>
          </cell>
          <cell r="U41">
            <v>256</v>
          </cell>
          <cell r="V41">
            <v>259</v>
          </cell>
          <cell r="W41">
            <v>261</v>
          </cell>
          <cell r="X41">
            <v>264</v>
          </cell>
          <cell r="Y41">
            <v>267</v>
          </cell>
          <cell r="Z41">
            <v>269</v>
          </cell>
          <cell r="AA41">
            <v>274</v>
          </cell>
          <cell r="AB41">
            <v>279</v>
          </cell>
          <cell r="AC41">
            <v>283</v>
          </cell>
        </row>
        <row r="42">
          <cell r="B42" t="str">
            <v>Phangnga</v>
          </cell>
          <cell r="C42">
            <v>230</v>
          </cell>
          <cell r="D42">
            <v>232</v>
          </cell>
          <cell r="E42">
            <v>234</v>
          </cell>
          <cell r="F42">
            <v>235</v>
          </cell>
          <cell r="G42">
            <v>237</v>
          </cell>
          <cell r="H42">
            <v>239</v>
          </cell>
          <cell r="I42">
            <v>242</v>
          </cell>
          <cell r="J42">
            <v>244</v>
          </cell>
          <cell r="K42">
            <v>246</v>
          </cell>
          <cell r="L42">
            <v>248</v>
          </cell>
          <cell r="M42">
            <v>250</v>
          </cell>
          <cell r="N42">
            <v>252</v>
          </cell>
          <cell r="O42">
            <v>253</v>
          </cell>
          <cell r="P42">
            <v>255</v>
          </cell>
          <cell r="Q42">
            <v>257</v>
          </cell>
          <cell r="R42">
            <v>258</v>
          </cell>
          <cell r="S42">
            <v>257</v>
          </cell>
          <cell r="T42">
            <v>256</v>
          </cell>
          <cell r="U42">
            <v>255</v>
          </cell>
          <cell r="V42">
            <v>254</v>
          </cell>
          <cell r="W42">
            <v>253</v>
          </cell>
          <cell r="X42">
            <v>252</v>
          </cell>
          <cell r="Y42">
            <v>251</v>
          </cell>
          <cell r="Z42">
            <v>250</v>
          </cell>
          <cell r="AA42">
            <v>250</v>
          </cell>
          <cell r="AB42">
            <v>250</v>
          </cell>
          <cell r="AC42">
            <v>249</v>
          </cell>
        </row>
        <row r="43">
          <cell r="B43" t="str">
            <v>Krabi</v>
          </cell>
          <cell r="C43">
            <v>316</v>
          </cell>
          <cell r="D43">
            <v>321</v>
          </cell>
          <cell r="E43">
            <v>327</v>
          </cell>
          <cell r="F43">
            <v>333</v>
          </cell>
          <cell r="G43">
            <v>338</v>
          </cell>
          <cell r="H43">
            <v>344</v>
          </cell>
          <cell r="I43">
            <v>346</v>
          </cell>
          <cell r="J43">
            <v>349</v>
          </cell>
          <cell r="K43">
            <v>351</v>
          </cell>
          <cell r="L43">
            <v>353</v>
          </cell>
          <cell r="M43">
            <v>355</v>
          </cell>
          <cell r="N43">
            <v>357</v>
          </cell>
          <cell r="O43">
            <v>358</v>
          </cell>
          <cell r="P43">
            <v>360</v>
          </cell>
          <cell r="Q43">
            <v>361</v>
          </cell>
          <cell r="R43">
            <v>362</v>
          </cell>
          <cell r="S43">
            <v>370</v>
          </cell>
          <cell r="T43">
            <v>378</v>
          </cell>
          <cell r="U43">
            <v>387</v>
          </cell>
          <cell r="V43">
            <v>395</v>
          </cell>
          <cell r="W43">
            <v>403</v>
          </cell>
          <cell r="X43">
            <v>410</v>
          </cell>
          <cell r="Y43">
            <v>415</v>
          </cell>
          <cell r="Z43">
            <v>418</v>
          </cell>
          <cell r="AA43">
            <v>421</v>
          </cell>
          <cell r="AB43">
            <v>424</v>
          </cell>
          <cell r="AC43">
            <v>428</v>
          </cell>
        </row>
        <row r="44">
          <cell r="B44" t="str">
            <v>Chumphon</v>
          </cell>
          <cell r="C44">
            <v>423</v>
          </cell>
          <cell r="D44">
            <v>430</v>
          </cell>
          <cell r="E44">
            <v>436</v>
          </cell>
          <cell r="F44">
            <v>443</v>
          </cell>
          <cell r="G44">
            <v>449</v>
          </cell>
          <cell r="H44">
            <v>456</v>
          </cell>
          <cell r="I44">
            <v>458</v>
          </cell>
          <cell r="J44">
            <v>460</v>
          </cell>
          <cell r="K44">
            <v>461</v>
          </cell>
          <cell r="L44">
            <v>463</v>
          </cell>
          <cell r="M44">
            <v>464</v>
          </cell>
          <cell r="N44">
            <v>465</v>
          </cell>
          <cell r="O44">
            <v>466</v>
          </cell>
          <cell r="P44">
            <v>467</v>
          </cell>
          <cell r="Q44">
            <v>467</v>
          </cell>
          <cell r="R44">
            <v>467</v>
          </cell>
          <cell r="S44">
            <v>471</v>
          </cell>
          <cell r="T44">
            <v>475</v>
          </cell>
          <cell r="U44">
            <v>478</v>
          </cell>
          <cell r="V44">
            <v>482</v>
          </cell>
          <cell r="W44">
            <v>486</v>
          </cell>
          <cell r="X44">
            <v>490</v>
          </cell>
          <cell r="Y44">
            <v>494</v>
          </cell>
          <cell r="Z44">
            <v>498</v>
          </cell>
          <cell r="AA44">
            <v>499</v>
          </cell>
          <cell r="AB44">
            <v>500</v>
          </cell>
          <cell r="AC44">
            <v>501</v>
          </cell>
        </row>
        <row r="45">
          <cell r="B45" t="str">
            <v>Nakhon Si Thammarat</v>
          </cell>
          <cell r="C45">
            <v>1512</v>
          </cell>
          <cell r="D45">
            <v>1520</v>
          </cell>
          <cell r="E45">
            <v>1528</v>
          </cell>
          <cell r="F45">
            <v>1536</v>
          </cell>
          <cell r="G45">
            <v>1544</v>
          </cell>
          <cell r="H45">
            <v>1552</v>
          </cell>
          <cell r="I45">
            <v>1545</v>
          </cell>
          <cell r="J45">
            <v>1537</v>
          </cell>
          <cell r="K45">
            <v>1528</v>
          </cell>
          <cell r="L45">
            <v>1519</v>
          </cell>
          <cell r="M45">
            <v>1509</v>
          </cell>
          <cell r="N45">
            <v>1498</v>
          </cell>
          <cell r="O45">
            <v>1487</v>
          </cell>
          <cell r="P45">
            <v>1475</v>
          </cell>
          <cell r="Q45">
            <v>1463</v>
          </cell>
          <cell r="R45">
            <v>1450</v>
          </cell>
          <cell r="S45">
            <v>1457</v>
          </cell>
          <cell r="T45">
            <v>1464</v>
          </cell>
          <cell r="U45">
            <v>1471</v>
          </cell>
          <cell r="V45">
            <v>1478</v>
          </cell>
          <cell r="W45">
            <v>1485</v>
          </cell>
          <cell r="X45">
            <v>1493</v>
          </cell>
          <cell r="Y45">
            <v>1500</v>
          </cell>
          <cell r="Z45">
            <v>1507</v>
          </cell>
          <cell r="AA45">
            <v>1511</v>
          </cell>
          <cell r="AB45">
            <v>1515</v>
          </cell>
          <cell r="AC45">
            <v>1519</v>
          </cell>
        </row>
        <row r="46">
          <cell r="B46" t="str">
            <v>Songkhla</v>
          </cell>
          <cell r="C46">
            <v>1215</v>
          </cell>
          <cell r="D46">
            <v>1228</v>
          </cell>
          <cell r="E46">
            <v>1242</v>
          </cell>
          <cell r="F46">
            <v>1255</v>
          </cell>
          <cell r="G46">
            <v>1269</v>
          </cell>
          <cell r="H46">
            <v>1282</v>
          </cell>
          <cell r="I46">
            <v>1303</v>
          </cell>
          <cell r="J46">
            <v>1324</v>
          </cell>
          <cell r="K46">
            <v>1345</v>
          </cell>
          <cell r="L46">
            <v>1365</v>
          </cell>
          <cell r="M46">
            <v>1385</v>
          </cell>
          <cell r="N46">
            <v>1405</v>
          </cell>
          <cell r="O46">
            <v>1424</v>
          </cell>
          <cell r="P46">
            <v>1443</v>
          </cell>
          <cell r="Q46">
            <v>1462</v>
          </cell>
          <cell r="R46">
            <v>1480</v>
          </cell>
          <cell r="S46">
            <v>1501</v>
          </cell>
          <cell r="T46">
            <v>1522</v>
          </cell>
          <cell r="U46">
            <v>1543</v>
          </cell>
          <cell r="V46">
            <v>1564</v>
          </cell>
          <cell r="W46">
            <v>1585</v>
          </cell>
          <cell r="X46">
            <v>1607</v>
          </cell>
          <cell r="Y46">
            <v>1620</v>
          </cell>
          <cell r="Z46">
            <v>1635</v>
          </cell>
          <cell r="AA46">
            <v>1649</v>
          </cell>
          <cell r="AB46">
            <v>1663</v>
          </cell>
          <cell r="AC46">
            <v>1676</v>
          </cell>
        </row>
        <row r="47">
          <cell r="B47" t="str">
            <v>Satun</v>
          </cell>
          <cell r="C47">
            <v>237</v>
          </cell>
          <cell r="D47">
            <v>240</v>
          </cell>
          <cell r="E47">
            <v>244</v>
          </cell>
          <cell r="F47">
            <v>247</v>
          </cell>
          <cell r="G47">
            <v>251</v>
          </cell>
          <cell r="H47">
            <v>255</v>
          </cell>
          <cell r="I47">
            <v>257</v>
          </cell>
          <cell r="J47">
            <v>259</v>
          </cell>
          <cell r="K47">
            <v>261</v>
          </cell>
          <cell r="L47">
            <v>263</v>
          </cell>
          <cell r="M47">
            <v>265</v>
          </cell>
          <cell r="N47">
            <v>266</v>
          </cell>
          <cell r="O47">
            <v>268</v>
          </cell>
          <cell r="P47">
            <v>269</v>
          </cell>
          <cell r="Q47">
            <v>271</v>
          </cell>
          <cell r="R47">
            <v>272</v>
          </cell>
          <cell r="S47">
            <v>274</v>
          </cell>
          <cell r="T47">
            <v>276</v>
          </cell>
          <cell r="U47">
            <v>279</v>
          </cell>
          <cell r="V47">
            <v>281</v>
          </cell>
          <cell r="W47">
            <v>283</v>
          </cell>
          <cell r="X47">
            <v>286</v>
          </cell>
          <cell r="Y47">
            <v>288</v>
          </cell>
          <cell r="Z47">
            <v>290</v>
          </cell>
          <cell r="AA47">
            <v>293</v>
          </cell>
          <cell r="AB47">
            <v>295</v>
          </cell>
          <cell r="AC47">
            <v>297</v>
          </cell>
        </row>
        <row r="48">
          <cell r="B48" t="str">
            <v>Yala</v>
          </cell>
          <cell r="C48">
            <v>391</v>
          </cell>
          <cell r="D48">
            <v>397</v>
          </cell>
          <cell r="E48">
            <v>404</v>
          </cell>
          <cell r="F48">
            <v>411</v>
          </cell>
          <cell r="G48">
            <v>418</v>
          </cell>
          <cell r="H48">
            <v>425</v>
          </cell>
          <cell r="I48">
            <v>427</v>
          </cell>
          <cell r="J48">
            <v>428</v>
          </cell>
          <cell r="K48">
            <v>430</v>
          </cell>
          <cell r="L48">
            <v>431</v>
          </cell>
          <cell r="M48">
            <v>431</v>
          </cell>
          <cell r="N48">
            <v>432</v>
          </cell>
          <cell r="O48">
            <v>433</v>
          </cell>
          <cell r="P48">
            <v>433</v>
          </cell>
          <cell r="Q48">
            <v>433</v>
          </cell>
          <cell r="R48">
            <v>433</v>
          </cell>
          <cell r="S48">
            <v>438</v>
          </cell>
          <cell r="T48">
            <v>443</v>
          </cell>
          <cell r="U48">
            <v>448</v>
          </cell>
          <cell r="V48">
            <v>453</v>
          </cell>
          <cell r="W48">
            <v>459</v>
          </cell>
          <cell r="X48">
            <v>462</v>
          </cell>
          <cell r="Y48">
            <v>465</v>
          </cell>
          <cell r="Z48">
            <v>468</v>
          </cell>
          <cell r="AA48">
            <v>472</v>
          </cell>
          <cell r="AB48">
            <v>475</v>
          </cell>
          <cell r="AC48">
            <v>478</v>
          </cell>
        </row>
        <row r="49">
          <cell r="B49" t="str">
            <v>Trang</v>
          </cell>
          <cell r="C49">
            <v>581</v>
          </cell>
          <cell r="D49">
            <v>586</v>
          </cell>
          <cell r="E49">
            <v>592</v>
          </cell>
          <cell r="F49">
            <v>597</v>
          </cell>
          <cell r="G49">
            <v>602</v>
          </cell>
          <cell r="H49">
            <v>608</v>
          </cell>
          <cell r="I49">
            <v>608</v>
          </cell>
          <cell r="J49">
            <v>608</v>
          </cell>
          <cell r="K49">
            <v>608</v>
          </cell>
          <cell r="L49">
            <v>607</v>
          </cell>
          <cell r="M49">
            <v>606</v>
          </cell>
          <cell r="N49">
            <v>605</v>
          </cell>
          <cell r="O49">
            <v>604</v>
          </cell>
          <cell r="P49">
            <v>603</v>
          </cell>
          <cell r="Q49">
            <v>601</v>
          </cell>
          <cell r="R49">
            <v>599</v>
          </cell>
          <cell r="S49">
            <v>603</v>
          </cell>
          <cell r="T49">
            <v>608</v>
          </cell>
          <cell r="U49">
            <v>613</v>
          </cell>
          <cell r="V49">
            <v>618</v>
          </cell>
          <cell r="W49">
            <v>622</v>
          </cell>
          <cell r="X49">
            <v>625</v>
          </cell>
          <cell r="Y49">
            <v>628</v>
          </cell>
          <cell r="Z49">
            <v>630</v>
          </cell>
          <cell r="AA49">
            <v>631</v>
          </cell>
          <cell r="AB49">
            <v>632</v>
          </cell>
          <cell r="AC49">
            <v>632</v>
          </cell>
        </row>
        <row r="50">
          <cell r="B50" t="str">
            <v>Narathiwat</v>
          </cell>
          <cell r="C50">
            <v>624</v>
          </cell>
          <cell r="D50">
            <v>635</v>
          </cell>
          <cell r="E50">
            <v>645</v>
          </cell>
          <cell r="F50">
            <v>656</v>
          </cell>
          <cell r="G50">
            <v>667</v>
          </cell>
          <cell r="H50">
            <v>678</v>
          </cell>
          <cell r="I50">
            <v>678</v>
          </cell>
          <cell r="J50">
            <v>679</v>
          </cell>
          <cell r="K50">
            <v>679</v>
          </cell>
          <cell r="L50">
            <v>678</v>
          </cell>
          <cell r="M50">
            <v>678</v>
          </cell>
          <cell r="N50">
            <v>677</v>
          </cell>
          <cell r="O50">
            <v>675</v>
          </cell>
          <cell r="P50">
            <v>674</v>
          </cell>
          <cell r="Q50">
            <v>672</v>
          </cell>
          <cell r="R50">
            <v>670</v>
          </cell>
          <cell r="S50">
            <v>678</v>
          </cell>
          <cell r="T50">
            <v>685</v>
          </cell>
          <cell r="U50">
            <v>693</v>
          </cell>
          <cell r="V50">
            <v>701</v>
          </cell>
          <cell r="W50">
            <v>709</v>
          </cell>
          <cell r="X50">
            <v>714</v>
          </cell>
          <cell r="Y50">
            <v>717</v>
          </cell>
          <cell r="Z50">
            <v>721</v>
          </cell>
          <cell r="AA50">
            <v>725</v>
          </cell>
          <cell r="AB50">
            <v>729</v>
          </cell>
          <cell r="AC50">
            <v>733</v>
          </cell>
        </row>
        <row r="51">
          <cell r="B51" t="str">
            <v>Phatthalung</v>
          </cell>
          <cell r="C51">
            <v>486</v>
          </cell>
          <cell r="D51">
            <v>490</v>
          </cell>
          <cell r="E51">
            <v>495</v>
          </cell>
          <cell r="F51">
            <v>500</v>
          </cell>
          <cell r="G51">
            <v>504</v>
          </cell>
          <cell r="H51">
            <v>509</v>
          </cell>
          <cell r="I51">
            <v>507</v>
          </cell>
          <cell r="J51">
            <v>505</v>
          </cell>
          <cell r="K51">
            <v>503</v>
          </cell>
          <cell r="L51">
            <v>500</v>
          </cell>
          <cell r="M51">
            <v>497</v>
          </cell>
          <cell r="N51">
            <v>495</v>
          </cell>
          <cell r="O51">
            <v>491</v>
          </cell>
          <cell r="P51">
            <v>488</v>
          </cell>
          <cell r="Q51">
            <v>484</v>
          </cell>
          <cell r="R51">
            <v>481</v>
          </cell>
          <cell r="S51">
            <v>482</v>
          </cell>
          <cell r="T51">
            <v>483</v>
          </cell>
          <cell r="U51">
            <v>485</v>
          </cell>
          <cell r="V51">
            <v>486</v>
          </cell>
          <cell r="W51">
            <v>488</v>
          </cell>
          <cell r="X51">
            <v>489</v>
          </cell>
          <cell r="Y51">
            <v>490</v>
          </cell>
          <cell r="Z51">
            <v>492</v>
          </cell>
          <cell r="AA51">
            <v>492</v>
          </cell>
          <cell r="AB51">
            <v>492</v>
          </cell>
          <cell r="AC51">
            <v>492</v>
          </cell>
        </row>
        <row r="52">
          <cell r="B52" t="str">
            <v>Pattani</v>
          </cell>
          <cell r="C52">
            <v>575</v>
          </cell>
          <cell r="D52">
            <v>582</v>
          </cell>
          <cell r="E52">
            <v>589</v>
          </cell>
          <cell r="F52">
            <v>596</v>
          </cell>
          <cell r="G52">
            <v>603</v>
          </cell>
          <cell r="H52">
            <v>610</v>
          </cell>
          <cell r="I52">
            <v>611</v>
          </cell>
          <cell r="J52">
            <v>612</v>
          </cell>
          <cell r="K52">
            <v>612</v>
          </cell>
          <cell r="L52">
            <v>613</v>
          </cell>
          <cell r="M52">
            <v>613</v>
          </cell>
          <cell r="N52">
            <v>612</v>
          </cell>
          <cell r="O52">
            <v>612</v>
          </cell>
          <cell r="P52">
            <v>611</v>
          </cell>
          <cell r="Q52">
            <v>610</v>
          </cell>
          <cell r="R52">
            <v>609</v>
          </cell>
          <cell r="S52">
            <v>613</v>
          </cell>
          <cell r="T52">
            <v>618</v>
          </cell>
          <cell r="U52">
            <v>623</v>
          </cell>
          <cell r="V52">
            <v>628</v>
          </cell>
          <cell r="W52">
            <v>632</v>
          </cell>
          <cell r="X52">
            <v>635</v>
          </cell>
          <cell r="Y52">
            <v>639</v>
          </cell>
          <cell r="Z52">
            <v>641</v>
          </cell>
          <cell r="AA52">
            <v>644</v>
          </cell>
          <cell r="AB52">
            <v>646</v>
          </cell>
          <cell r="AC52">
            <v>648</v>
          </cell>
        </row>
        <row r="53">
          <cell r="B53" t="str">
            <v>Chon Buri</v>
          </cell>
          <cell r="C53">
            <v>967</v>
          </cell>
          <cell r="D53">
            <v>985</v>
          </cell>
          <cell r="E53">
            <v>1005</v>
          </cell>
          <cell r="F53">
            <v>1024</v>
          </cell>
          <cell r="G53">
            <v>1044</v>
          </cell>
          <cell r="H53">
            <v>1064</v>
          </cell>
          <cell r="I53">
            <v>1107</v>
          </cell>
          <cell r="J53">
            <v>1152</v>
          </cell>
          <cell r="K53">
            <v>1197</v>
          </cell>
          <cell r="L53">
            <v>1245</v>
          </cell>
          <cell r="M53">
            <v>1293</v>
          </cell>
          <cell r="N53">
            <v>1343</v>
          </cell>
          <cell r="O53">
            <v>1394</v>
          </cell>
          <cell r="P53">
            <v>1446</v>
          </cell>
          <cell r="Q53">
            <v>1499</v>
          </cell>
          <cell r="R53">
            <v>1554</v>
          </cell>
          <cell r="S53">
            <v>1584</v>
          </cell>
          <cell r="T53">
            <v>1615</v>
          </cell>
          <cell r="U53">
            <v>1645</v>
          </cell>
          <cell r="V53">
            <v>1675</v>
          </cell>
          <cell r="W53">
            <v>1706</v>
          </cell>
          <cell r="X53">
            <v>1735</v>
          </cell>
          <cell r="Y53">
            <v>1782</v>
          </cell>
          <cell r="Z53">
            <v>1819</v>
          </cell>
          <cell r="AA53">
            <v>1855</v>
          </cell>
          <cell r="AB53">
            <v>1891</v>
          </cell>
          <cell r="AC53">
            <v>1926</v>
          </cell>
        </row>
        <row r="54">
          <cell r="B54" t="str">
            <v>Chachoengsao</v>
          </cell>
          <cell r="C54">
            <v>608</v>
          </cell>
          <cell r="D54">
            <v>616</v>
          </cell>
          <cell r="E54">
            <v>624</v>
          </cell>
          <cell r="F54">
            <v>633</v>
          </cell>
          <cell r="G54">
            <v>641</v>
          </cell>
          <cell r="H54">
            <v>649</v>
          </cell>
          <cell r="I54">
            <v>657</v>
          </cell>
          <cell r="J54">
            <v>664</v>
          </cell>
          <cell r="K54">
            <v>671</v>
          </cell>
          <cell r="L54">
            <v>678</v>
          </cell>
          <cell r="M54">
            <v>685</v>
          </cell>
          <cell r="N54">
            <v>692</v>
          </cell>
          <cell r="O54">
            <v>698</v>
          </cell>
          <cell r="P54">
            <v>704</v>
          </cell>
          <cell r="Q54">
            <v>710</v>
          </cell>
          <cell r="R54">
            <v>715</v>
          </cell>
          <cell r="S54">
            <v>728</v>
          </cell>
          <cell r="T54">
            <v>742</v>
          </cell>
          <cell r="U54">
            <v>755</v>
          </cell>
          <cell r="V54">
            <v>768</v>
          </cell>
          <cell r="W54">
            <v>781</v>
          </cell>
          <cell r="X54">
            <v>792</v>
          </cell>
          <cell r="Y54">
            <v>806</v>
          </cell>
          <cell r="Z54">
            <v>823</v>
          </cell>
          <cell r="AA54">
            <v>840</v>
          </cell>
          <cell r="AB54">
            <v>858</v>
          </cell>
          <cell r="AC54">
            <v>875</v>
          </cell>
        </row>
        <row r="55">
          <cell r="B55" t="str">
            <v>Rayong</v>
          </cell>
          <cell r="C55">
            <v>498</v>
          </cell>
          <cell r="D55">
            <v>505</v>
          </cell>
          <cell r="E55">
            <v>512</v>
          </cell>
          <cell r="F55">
            <v>519</v>
          </cell>
          <cell r="G55">
            <v>526</v>
          </cell>
          <cell r="H55">
            <v>534</v>
          </cell>
          <cell r="I55">
            <v>558</v>
          </cell>
          <cell r="J55">
            <v>584</v>
          </cell>
          <cell r="K55">
            <v>610</v>
          </cell>
          <cell r="L55">
            <v>637</v>
          </cell>
          <cell r="M55">
            <v>665</v>
          </cell>
          <cell r="N55">
            <v>694</v>
          </cell>
          <cell r="O55">
            <v>724</v>
          </cell>
          <cell r="P55">
            <v>755</v>
          </cell>
          <cell r="Q55">
            <v>787</v>
          </cell>
          <cell r="R55">
            <v>820</v>
          </cell>
          <cell r="S55">
            <v>837</v>
          </cell>
          <cell r="T55">
            <v>853</v>
          </cell>
          <cell r="U55">
            <v>869</v>
          </cell>
          <cell r="V55">
            <v>886</v>
          </cell>
          <cell r="W55">
            <v>902</v>
          </cell>
          <cell r="X55">
            <v>921</v>
          </cell>
          <cell r="Y55">
            <v>954</v>
          </cell>
          <cell r="Z55">
            <v>980</v>
          </cell>
          <cell r="AA55">
            <v>1005</v>
          </cell>
          <cell r="AB55">
            <v>1031</v>
          </cell>
          <cell r="AC55">
            <v>1056</v>
          </cell>
        </row>
        <row r="56">
          <cell r="B56" t="str">
            <v>Trat</v>
          </cell>
          <cell r="C56">
            <v>194</v>
          </cell>
          <cell r="D56">
            <v>199</v>
          </cell>
          <cell r="E56">
            <v>205</v>
          </cell>
          <cell r="F56">
            <v>211</v>
          </cell>
          <cell r="G56">
            <v>218</v>
          </cell>
          <cell r="H56">
            <v>224</v>
          </cell>
          <cell r="I56">
            <v>227</v>
          </cell>
          <cell r="J56">
            <v>229</v>
          </cell>
          <cell r="K56">
            <v>232</v>
          </cell>
          <cell r="L56">
            <v>234</v>
          </cell>
          <cell r="M56">
            <v>237</v>
          </cell>
          <cell r="N56">
            <v>239</v>
          </cell>
          <cell r="O56">
            <v>241</v>
          </cell>
          <cell r="P56">
            <v>243</v>
          </cell>
          <cell r="Q56">
            <v>245</v>
          </cell>
          <cell r="R56">
            <v>247</v>
          </cell>
          <cell r="S56">
            <v>250</v>
          </cell>
          <cell r="T56">
            <v>252</v>
          </cell>
          <cell r="U56">
            <v>254</v>
          </cell>
          <cell r="V56">
            <v>257</v>
          </cell>
          <cell r="W56">
            <v>259</v>
          </cell>
          <cell r="X56">
            <v>262</v>
          </cell>
          <cell r="Y56">
            <v>264</v>
          </cell>
          <cell r="Z56">
            <v>267</v>
          </cell>
          <cell r="AA56">
            <v>270</v>
          </cell>
          <cell r="AB56">
            <v>272</v>
          </cell>
          <cell r="AC56">
            <v>275</v>
          </cell>
        </row>
        <row r="57">
          <cell r="B57" t="str">
            <v>Chanthaburi</v>
          </cell>
          <cell r="C57">
            <v>444</v>
          </cell>
          <cell r="D57">
            <v>453</v>
          </cell>
          <cell r="E57">
            <v>462</v>
          </cell>
          <cell r="F57">
            <v>471</v>
          </cell>
          <cell r="G57">
            <v>481</v>
          </cell>
          <cell r="H57">
            <v>490</v>
          </cell>
          <cell r="I57">
            <v>491</v>
          </cell>
          <cell r="J57">
            <v>491</v>
          </cell>
          <cell r="K57">
            <v>491</v>
          </cell>
          <cell r="L57">
            <v>491</v>
          </cell>
          <cell r="M57">
            <v>490</v>
          </cell>
          <cell r="N57">
            <v>490</v>
          </cell>
          <cell r="O57">
            <v>489</v>
          </cell>
          <cell r="P57">
            <v>488</v>
          </cell>
          <cell r="Q57">
            <v>487</v>
          </cell>
          <cell r="R57">
            <v>485</v>
          </cell>
          <cell r="S57">
            <v>493</v>
          </cell>
          <cell r="T57">
            <v>501</v>
          </cell>
          <cell r="U57">
            <v>509</v>
          </cell>
          <cell r="V57">
            <v>518</v>
          </cell>
          <cell r="W57">
            <v>526</v>
          </cell>
          <cell r="X57">
            <v>535</v>
          </cell>
          <cell r="Y57">
            <v>544</v>
          </cell>
          <cell r="Z57">
            <v>553</v>
          </cell>
          <cell r="AA57">
            <v>557</v>
          </cell>
          <cell r="AB57">
            <v>561</v>
          </cell>
          <cell r="AC57">
            <v>566</v>
          </cell>
        </row>
        <row r="58">
          <cell r="B58" t="str">
            <v>Nakhon Nayok</v>
          </cell>
          <cell r="C58">
            <v>237</v>
          </cell>
          <cell r="D58">
            <v>239</v>
          </cell>
          <cell r="E58">
            <v>241</v>
          </cell>
          <cell r="F58">
            <v>243</v>
          </cell>
          <cell r="G58">
            <v>244</v>
          </cell>
          <cell r="H58">
            <v>246</v>
          </cell>
          <cell r="I58">
            <v>247</v>
          </cell>
          <cell r="J58">
            <v>247</v>
          </cell>
          <cell r="K58">
            <v>248</v>
          </cell>
          <cell r="L58">
            <v>248</v>
          </cell>
          <cell r="M58">
            <v>248</v>
          </cell>
          <cell r="N58">
            <v>248</v>
          </cell>
          <cell r="O58">
            <v>248</v>
          </cell>
          <cell r="P58">
            <v>247</v>
          </cell>
          <cell r="Q58">
            <v>247</v>
          </cell>
          <cell r="R58">
            <v>247</v>
          </cell>
          <cell r="S58">
            <v>248</v>
          </cell>
          <cell r="T58">
            <v>250</v>
          </cell>
          <cell r="U58">
            <v>252</v>
          </cell>
          <cell r="V58">
            <v>254</v>
          </cell>
          <cell r="W58">
            <v>256</v>
          </cell>
          <cell r="X58">
            <v>256</v>
          </cell>
          <cell r="Y58">
            <v>258</v>
          </cell>
          <cell r="Z58">
            <v>259</v>
          </cell>
          <cell r="AA58">
            <v>260</v>
          </cell>
          <cell r="AB58">
            <v>261</v>
          </cell>
          <cell r="AC58">
            <v>262</v>
          </cell>
        </row>
        <row r="59">
          <cell r="B59" t="str">
            <v>Prachin Buri</v>
          </cell>
          <cell r="C59">
            <v>427</v>
          </cell>
          <cell r="D59">
            <v>425</v>
          </cell>
          <cell r="E59">
            <v>422</v>
          </cell>
          <cell r="F59">
            <v>420</v>
          </cell>
          <cell r="G59">
            <v>418</v>
          </cell>
          <cell r="H59">
            <v>415</v>
          </cell>
          <cell r="I59">
            <v>428</v>
          </cell>
          <cell r="J59">
            <v>440</v>
          </cell>
          <cell r="K59">
            <v>453</v>
          </cell>
          <cell r="L59">
            <v>466</v>
          </cell>
          <cell r="M59">
            <v>479</v>
          </cell>
          <cell r="N59">
            <v>492</v>
          </cell>
          <cell r="O59">
            <v>506</v>
          </cell>
          <cell r="P59">
            <v>519</v>
          </cell>
          <cell r="Q59">
            <v>533</v>
          </cell>
          <cell r="R59">
            <v>547</v>
          </cell>
          <cell r="S59">
            <v>555</v>
          </cell>
          <cell r="T59">
            <v>564</v>
          </cell>
          <cell r="U59">
            <v>573</v>
          </cell>
          <cell r="V59">
            <v>582</v>
          </cell>
          <cell r="W59">
            <v>590</v>
          </cell>
          <cell r="X59">
            <v>599</v>
          </cell>
          <cell r="Y59">
            <v>612</v>
          </cell>
          <cell r="Z59">
            <v>621</v>
          </cell>
          <cell r="AA59">
            <v>630</v>
          </cell>
          <cell r="AB59">
            <v>638</v>
          </cell>
          <cell r="AC59">
            <v>647</v>
          </cell>
        </row>
        <row r="60">
          <cell r="B60" t="str">
            <v>Sa Kaew</v>
          </cell>
          <cell r="C60">
            <v>430</v>
          </cell>
          <cell r="D60">
            <v>443</v>
          </cell>
          <cell r="E60">
            <v>456</v>
          </cell>
          <cell r="F60">
            <v>469</v>
          </cell>
          <cell r="G60">
            <v>483</v>
          </cell>
          <cell r="H60">
            <v>497</v>
          </cell>
          <cell r="I60">
            <v>503</v>
          </cell>
          <cell r="J60">
            <v>510</v>
          </cell>
          <cell r="K60">
            <v>516</v>
          </cell>
          <cell r="L60">
            <v>522</v>
          </cell>
          <cell r="M60">
            <v>528</v>
          </cell>
          <cell r="N60">
            <v>534</v>
          </cell>
          <cell r="O60">
            <v>540</v>
          </cell>
          <cell r="P60">
            <v>545</v>
          </cell>
          <cell r="Q60">
            <v>550</v>
          </cell>
          <cell r="R60">
            <v>555</v>
          </cell>
          <cell r="S60">
            <v>564</v>
          </cell>
          <cell r="T60">
            <v>573</v>
          </cell>
          <cell r="U60">
            <v>582</v>
          </cell>
          <cell r="V60">
            <v>590</v>
          </cell>
          <cell r="W60">
            <v>599</v>
          </cell>
          <cell r="X60">
            <v>608</v>
          </cell>
          <cell r="Y60">
            <v>621</v>
          </cell>
          <cell r="Z60">
            <v>630</v>
          </cell>
          <cell r="AA60">
            <v>639</v>
          </cell>
          <cell r="AB60">
            <v>647</v>
          </cell>
          <cell r="AC60">
            <v>656</v>
          </cell>
        </row>
        <row r="61">
          <cell r="B61" t="str">
            <v>Ratchaburi</v>
          </cell>
          <cell r="C61">
            <v>772</v>
          </cell>
          <cell r="D61">
            <v>779</v>
          </cell>
          <cell r="E61">
            <v>786</v>
          </cell>
          <cell r="F61">
            <v>793</v>
          </cell>
          <cell r="G61">
            <v>801</v>
          </cell>
          <cell r="H61">
            <v>808</v>
          </cell>
          <cell r="I61">
            <v>808</v>
          </cell>
          <cell r="J61">
            <v>809</v>
          </cell>
          <cell r="K61">
            <v>808</v>
          </cell>
          <cell r="L61">
            <v>808</v>
          </cell>
          <cell r="M61">
            <v>807</v>
          </cell>
          <cell r="N61">
            <v>805</v>
          </cell>
          <cell r="O61">
            <v>803</v>
          </cell>
          <cell r="P61">
            <v>801</v>
          </cell>
          <cell r="Q61">
            <v>799</v>
          </cell>
          <cell r="R61">
            <v>796</v>
          </cell>
          <cell r="S61">
            <v>798</v>
          </cell>
          <cell r="T61">
            <v>800</v>
          </cell>
          <cell r="U61">
            <v>802</v>
          </cell>
          <cell r="V61">
            <v>805</v>
          </cell>
          <cell r="W61">
            <v>807</v>
          </cell>
          <cell r="X61">
            <v>809</v>
          </cell>
          <cell r="Y61">
            <v>811</v>
          </cell>
          <cell r="Z61">
            <v>813</v>
          </cell>
          <cell r="AA61">
            <v>813</v>
          </cell>
          <cell r="AB61">
            <v>812</v>
          </cell>
          <cell r="AC61">
            <v>811</v>
          </cell>
        </row>
        <row r="62">
          <cell r="B62" t="str">
            <v>Kanchanaburi</v>
          </cell>
          <cell r="C62">
            <v>694</v>
          </cell>
          <cell r="D62">
            <v>705</v>
          </cell>
          <cell r="E62">
            <v>716</v>
          </cell>
          <cell r="F62">
            <v>728</v>
          </cell>
          <cell r="G62">
            <v>739</v>
          </cell>
          <cell r="H62">
            <v>750</v>
          </cell>
          <cell r="I62">
            <v>757</v>
          </cell>
          <cell r="J62">
            <v>763</v>
          </cell>
          <cell r="K62">
            <v>769</v>
          </cell>
          <cell r="L62">
            <v>774</v>
          </cell>
          <cell r="M62">
            <v>780</v>
          </cell>
          <cell r="N62">
            <v>784</v>
          </cell>
          <cell r="O62">
            <v>789</v>
          </cell>
          <cell r="P62">
            <v>793</v>
          </cell>
          <cell r="Q62">
            <v>797</v>
          </cell>
          <cell r="R62">
            <v>801</v>
          </cell>
          <cell r="S62">
            <v>804</v>
          </cell>
          <cell r="T62">
            <v>808</v>
          </cell>
          <cell r="U62">
            <v>811</v>
          </cell>
          <cell r="V62">
            <v>815</v>
          </cell>
          <cell r="W62">
            <v>818</v>
          </cell>
          <cell r="X62">
            <v>822</v>
          </cell>
          <cell r="Y62">
            <v>825</v>
          </cell>
          <cell r="Z62">
            <v>829</v>
          </cell>
          <cell r="AA62">
            <v>830</v>
          </cell>
          <cell r="AB62">
            <v>832</v>
          </cell>
          <cell r="AC62">
            <v>833</v>
          </cell>
        </row>
        <row r="63">
          <cell r="B63" t="str">
            <v>Phachuap Khiri Khan</v>
          </cell>
          <cell r="C63">
            <v>435</v>
          </cell>
          <cell r="D63">
            <v>440</v>
          </cell>
          <cell r="E63">
            <v>445</v>
          </cell>
          <cell r="F63">
            <v>450</v>
          </cell>
          <cell r="G63">
            <v>454</v>
          </cell>
          <cell r="H63">
            <v>459</v>
          </cell>
          <cell r="I63">
            <v>461</v>
          </cell>
          <cell r="J63">
            <v>462</v>
          </cell>
          <cell r="K63">
            <v>464</v>
          </cell>
          <cell r="L63">
            <v>465</v>
          </cell>
          <cell r="M63">
            <v>466</v>
          </cell>
          <cell r="N63">
            <v>466</v>
          </cell>
          <cell r="O63">
            <v>467</v>
          </cell>
          <cell r="P63">
            <v>467</v>
          </cell>
          <cell r="Q63">
            <v>467</v>
          </cell>
          <cell r="R63">
            <v>467</v>
          </cell>
          <cell r="S63">
            <v>471</v>
          </cell>
          <cell r="T63">
            <v>475</v>
          </cell>
          <cell r="U63">
            <v>479</v>
          </cell>
          <cell r="V63">
            <v>482</v>
          </cell>
          <cell r="W63">
            <v>486</v>
          </cell>
          <cell r="X63">
            <v>489</v>
          </cell>
          <cell r="Y63">
            <v>488</v>
          </cell>
          <cell r="Z63">
            <v>488</v>
          </cell>
          <cell r="AA63">
            <v>488</v>
          </cell>
          <cell r="AB63">
            <v>488</v>
          </cell>
          <cell r="AC63">
            <v>487</v>
          </cell>
        </row>
        <row r="64">
          <cell r="B64" t="str">
            <v>Phetchaburi</v>
          </cell>
          <cell r="C64">
            <v>423</v>
          </cell>
          <cell r="D64">
            <v>428</v>
          </cell>
          <cell r="E64">
            <v>432</v>
          </cell>
          <cell r="F64">
            <v>436</v>
          </cell>
          <cell r="G64">
            <v>441</v>
          </cell>
          <cell r="H64">
            <v>445</v>
          </cell>
          <cell r="I64">
            <v>449</v>
          </cell>
          <cell r="J64">
            <v>452</v>
          </cell>
          <cell r="K64">
            <v>455</v>
          </cell>
          <cell r="L64">
            <v>458</v>
          </cell>
          <cell r="M64">
            <v>461</v>
          </cell>
          <cell r="N64">
            <v>464</v>
          </cell>
          <cell r="O64">
            <v>466</v>
          </cell>
          <cell r="P64">
            <v>468</v>
          </cell>
          <cell r="Q64">
            <v>470</v>
          </cell>
          <cell r="R64">
            <v>472</v>
          </cell>
          <cell r="S64">
            <v>476</v>
          </cell>
          <cell r="T64">
            <v>480</v>
          </cell>
          <cell r="U64">
            <v>484</v>
          </cell>
          <cell r="V64">
            <v>488</v>
          </cell>
          <cell r="W64">
            <v>492</v>
          </cell>
          <cell r="X64">
            <v>496</v>
          </cell>
          <cell r="Y64">
            <v>498</v>
          </cell>
          <cell r="Z64">
            <v>499</v>
          </cell>
          <cell r="AA64">
            <v>500</v>
          </cell>
          <cell r="AB64">
            <v>501</v>
          </cell>
          <cell r="AC64">
            <v>502</v>
          </cell>
        </row>
        <row r="65">
          <cell r="B65" t="str">
            <v>Suphan Buri</v>
          </cell>
          <cell r="C65">
            <v>836</v>
          </cell>
          <cell r="D65">
            <v>843</v>
          </cell>
          <cell r="E65">
            <v>851</v>
          </cell>
          <cell r="F65">
            <v>859</v>
          </cell>
          <cell r="G65">
            <v>866</v>
          </cell>
          <cell r="H65">
            <v>874</v>
          </cell>
          <cell r="I65">
            <v>873</v>
          </cell>
          <cell r="J65">
            <v>871</v>
          </cell>
          <cell r="K65">
            <v>869</v>
          </cell>
          <cell r="L65">
            <v>867</v>
          </cell>
          <cell r="M65">
            <v>864</v>
          </cell>
          <cell r="N65">
            <v>861</v>
          </cell>
          <cell r="O65">
            <v>858</v>
          </cell>
          <cell r="P65">
            <v>854</v>
          </cell>
          <cell r="Q65">
            <v>850</v>
          </cell>
          <cell r="R65">
            <v>845</v>
          </cell>
          <cell r="S65">
            <v>846</v>
          </cell>
          <cell r="T65">
            <v>847</v>
          </cell>
          <cell r="U65">
            <v>849</v>
          </cell>
          <cell r="V65">
            <v>850</v>
          </cell>
          <cell r="W65">
            <v>851</v>
          </cell>
          <cell r="X65">
            <v>852</v>
          </cell>
          <cell r="Y65">
            <v>853</v>
          </cell>
          <cell r="Z65">
            <v>854</v>
          </cell>
          <cell r="AA65">
            <v>853</v>
          </cell>
          <cell r="AB65">
            <v>852</v>
          </cell>
          <cell r="AC65">
            <v>850</v>
          </cell>
        </row>
        <row r="66">
          <cell r="B66" t="str">
            <v>Samut Songkhram</v>
          </cell>
          <cell r="C66">
            <v>200</v>
          </cell>
          <cell r="D66">
            <v>202</v>
          </cell>
          <cell r="E66">
            <v>203</v>
          </cell>
          <cell r="F66">
            <v>205</v>
          </cell>
          <cell r="G66">
            <v>207</v>
          </cell>
          <cell r="H66">
            <v>208</v>
          </cell>
          <cell r="I66">
            <v>206</v>
          </cell>
          <cell r="J66">
            <v>204</v>
          </cell>
          <cell r="K66">
            <v>202</v>
          </cell>
          <cell r="L66">
            <v>200</v>
          </cell>
          <cell r="M66">
            <v>198</v>
          </cell>
          <cell r="N66">
            <v>195</v>
          </cell>
          <cell r="O66">
            <v>193</v>
          </cell>
          <cell r="P66">
            <v>190</v>
          </cell>
          <cell r="Q66">
            <v>188</v>
          </cell>
          <cell r="R66">
            <v>185</v>
          </cell>
          <cell r="S66">
            <v>185</v>
          </cell>
          <cell r="T66">
            <v>185</v>
          </cell>
          <cell r="U66">
            <v>185</v>
          </cell>
          <cell r="V66">
            <v>185</v>
          </cell>
          <cell r="W66">
            <v>185</v>
          </cell>
          <cell r="X66">
            <v>184</v>
          </cell>
          <cell r="Y66">
            <v>183</v>
          </cell>
          <cell r="Z66">
            <v>182</v>
          </cell>
          <cell r="AA66">
            <v>181</v>
          </cell>
          <cell r="AB66">
            <v>179</v>
          </cell>
          <cell r="AC66">
            <v>178</v>
          </cell>
        </row>
        <row r="67">
          <cell r="B67" t="str">
            <v>Saraburi</v>
          </cell>
          <cell r="C67">
            <v>548</v>
          </cell>
          <cell r="D67">
            <v>556</v>
          </cell>
          <cell r="E67">
            <v>564</v>
          </cell>
          <cell r="F67">
            <v>572</v>
          </cell>
          <cell r="G67">
            <v>580</v>
          </cell>
          <cell r="H67">
            <v>588</v>
          </cell>
          <cell r="I67">
            <v>601</v>
          </cell>
          <cell r="J67">
            <v>614</v>
          </cell>
          <cell r="K67">
            <v>627</v>
          </cell>
          <cell r="L67">
            <v>640</v>
          </cell>
          <cell r="M67">
            <v>653</v>
          </cell>
          <cell r="N67">
            <v>666</v>
          </cell>
          <cell r="O67">
            <v>678</v>
          </cell>
          <cell r="P67">
            <v>691</v>
          </cell>
          <cell r="Q67">
            <v>704</v>
          </cell>
          <cell r="R67">
            <v>717</v>
          </cell>
          <cell r="S67">
            <v>722</v>
          </cell>
          <cell r="T67">
            <v>728</v>
          </cell>
          <cell r="U67">
            <v>734</v>
          </cell>
          <cell r="V67">
            <v>740</v>
          </cell>
          <cell r="W67">
            <v>745</v>
          </cell>
          <cell r="X67">
            <v>750</v>
          </cell>
          <cell r="Y67">
            <v>755</v>
          </cell>
          <cell r="Z67">
            <v>758</v>
          </cell>
          <cell r="AA67">
            <v>760</v>
          </cell>
          <cell r="AB67">
            <v>762</v>
          </cell>
          <cell r="AC67">
            <v>763</v>
          </cell>
        </row>
        <row r="68">
          <cell r="B68" t="str">
            <v>Singburi</v>
          </cell>
          <cell r="C68">
            <v>235</v>
          </cell>
          <cell r="D68">
            <v>235</v>
          </cell>
          <cell r="E68">
            <v>236</v>
          </cell>
          <cell r="F68">
            <v>237</v>
          </cell>
          <cell r="G68">
            <v>237</v>
          </cell>
          <cell r="H68">
            <v>238</v>
          </cell>
          <cell r="I68">
            <v>234</v>
          </cell>
          <cell r="J68">
            <v>230</v>
          </cell>
          <cell r="K68">
            <v>227</v>
          </cell>
          <cell r="L68">
            <v>223</v>
          </cell>
          <cell r="M68">
            <v>219</v>
          </cell>
          <cell r="N68">
            <v>215</v>
          </cell>
          <cell r="O68">
            <v>212</v>
          </cell>
          <cell r="P68">
            <v>208</v>
          </cell>
          <cell r="Q68">
            <v>204</v>
          </cell>
          <cell r="R68">
            <v>200</v>
          </cell>
          <cell r="S68">
            <v>199</v>
          </cell>
          <cell r="T68">
            <v>198</v>
          </cell>
          <cell r="U68">
            <v>197</v>
          </cell>
          <cell r="V68">
            <v>197</v>
          </cell>
          <cell r="W68">
            <v>196</v>
          </cell>
          <cell r="X68">
            <v>194</v>
          </cell>
          <cell r="Y68">
            <v>192</v>
          </cell>
          <cell r="Z68">
            <v>190</v>
          </cell>
          <cell r="AA68">
            <v>189</v>
          </cell>
          <cell r="AB68">
            <v>187</v>
          </cell>
          <cell r="AC68">
            <v>186</v>
          </cell>
        </row>
        <row r="69">
          <cell r="B69" t="str">
            <v>Chai Nat</v>
          </cell>
          <cell r="C69">
            <v>363</v>
          </cell>
          <cell r="D69">
            <v>364</v>
          </cell>
          <cell r="E69">
            <v>365</v>
          </cell>
          <cell r="F69">
            <v>366</v>
          </cell>
          <cell r="G69">
            <v>366</v>
          </cell>
          <cell r="H69">
            <v>367</v>
          </cell>
          <cell r="I69">
            <v>361</v>
          </cell>
          <cell r="J69">
            <v>355</v>
          </cell>
          <cell r="K69">
            <v>349</v>
          </cell>
          <cell r="L69">
            <v>343</v>
          </cell>
          <cell r="M69">
            <v>337</v>
          </cell>
          <cell r="N69">
            <v>331</v>
          </cell>
          <cell r="O69">
            <v>324</v>
          </cell>
          <cell r="P69">
            <v>318</v>
          </cell>
          <cell r="Q69">
            <v>312</v>
          </cell>
          <cell r="R69">
            <v>305</v>
          </cell>
          <cell r="S69">
            <v>304</v>
          </cell>
          <cell r="T69">
            <v>303</v>
          </cell>
          <cell r="U69">
            <v>302</v>
          </cell>
          <cell r="V69">
            <v>302</v>
          </cell>
          <cell r="W69">
            <v>301</v>
          </cell>
          <cell r="X69">
            <v>298</v>
          </cell>
          <cell r="Y69">
            <v>296</v>
          </cell>
          <cell r="Z69">
            <v>294</v>
          </cell>
          <cell r="AA69">
            <v>293</v>
          </cell>
          <cell r="AB69">
            <v>291</v>
          </cell>
          <cell r="AC69">
            <v>289</v>
          </cell>
        </row>
        <row r="70">
          <cell r="B70" t="str">
            <v>Ang Thong</v>
          </cell>
          <cell r="C70">
            <v>269</v>
          </cell>
          <cell r="D70">
            <v>270</v>
          </cell>
          <cell r="E70">
            <v>271</v>
          </cell>
          <cell r="F70">
            <v>273</v>
          </cell>
          <cell r="G70">
            <v>274</v>
          </cell>
          <cell r="H70">
            <v>275</v>
          </cell>
          <cell r="I70">
            <v>273</v>
          </cell>
          <cell r="J70">
            <v>272</v>
          </cell>
          <cell r="K70">
            <v>270</v>
          </cell>
          <cell r="L70">
            <v>268</v>
          </cell>
          <cell r="M70">
            <v>266</v>
          </cell>
          <cell r="N70">
            <v>264</v>
          </cell>
          <cell r="O70">
            <v>262</v>
          </cell>
          <cell r="P70">
            <v>259</v>
          </cell>
          <cell r="Q70">
            <v>257</v>
          </cell>
          <cell r="R70">
            <v>254</v>
          </cell>
          <cell r="S70">
            <v>254</v>
          </cell>
          <cell r="T70">
            <v>254</v>
          </cell>
          <cell r="U70">
            <v>254</v>
          </cell>
          <cell r="V70">
            <v>254</v>
          </cell>
          <cell r="W70">
            <v>254</v>
          </cell>
          <cell r="X70">
            <v>253</v>
          </cell>
          <cell r="Y70">
            <v>251</v>
          </cell>
          <cell r="Z70">
            <v>250</v>
          </cell>
          <cell r="AA70">
            <v>249</v>
          </cell>
          <cell r="AB70">
            <v>247</v>
          </cell>
          <cell r="AC70">
            <v>246</v>
          </cell>
        </row>
        <row r="71">
          <cell r="B71" t="str">
            <v>Lop Buri</v>
          </cell>
          <cell r="C71">
            <v>744</v>
          </cell>
          <cell r="D71">
            <v>747</v>
          </cell>
          <cell r="E71">
            <v>751</v>
          </cell>
          <cell r="F71">
            <v>755</v>
          </cell>
          <cell r="G71">
            <v>758</v>
          </cell>
          <cell r="H71">
            <v>762</v>
          </cell>
          <cell r="I71">
            <v>764</v>
          </cell>
          <cell r="J71">
            <v>766</v>
          </cell>
          <cell r="K71">
            <v>768</v>
          </cell>
          <cell r="L71">
            <v>769</v>
          </cell>
          <cell r="M71">
            <v>770</v>
          </cell>
          <cell r="N71">
            <v>771</v>
          </cell>
          <cell r="O71">
            <v>771</v>
          </cell>
          <cell r="P71">
            <v>771</v>
          </cell>
          <cell r="Q71">
            <v>770</v>
          </cell>
          <cell r="R71">
            <v>769</v>
          </cell>
          <cell r="S71">
            <v>771</v>
          </cell>
          <cell r="T71">
            <v>773</v>
          </cell>
          <cell r="U71">
            <v>775</v>
          </cell>
          <cell r="V71">
            <v>777</v>
          </cell>
          <cell r="W71">
            <v>779</v>
          </cell>
          <cell r="X71">
            <v>779</v>
          </cell>
          <cell r="Y71">
            <v>778</v>
          </cell>
          <cell r="Z71">
            <v>777</v>
          </cell>
          <cell r="AA71">
            <v>776</v>
          </cell>
          <cell r="AB71">
            <v>775</v>
          </cell>
          <cell r="AC71">
            <v>774</v>
          </cell>
        </row>
        <row r="72">
          <cell r="B72" t="str">
            <v>Phra Nakhon Sri Ayuthaya</v>
          </cell>
          <cell r="C72">
            <v>724</v>
          </cell>
          <cell r="D72">
            <v>728</v>
          </cell>
          <cell r="E72">
            <v>732</v>
          </cell>
          <cell r="F72">
            <v>736</v>
          </cell>
          <cell r="G72">
            <v>740</v>
          </cell>
          <cell r="H72">
            <v>743</v>
          </cell>
          <cell r="I72">
            <v>757</v>
          </cell>
          <cell r="J72">
            <v>770</v>
          </cell>
          <cell r="K72">
            <v>783</v>
          </cell>
          <cell r="L72">
            <v>796</v>
          </cell>
          <cell r="M72">
            <v>809</v>
          </cell>
          <cell r="N72">
            <v>821</v>
          </cell>
          <cell r="O72">
            <v>834</v>
          </cell>
          <cell r="P72">
            <v>846</v>
          </cell>
          <cell r="Q72">
            <v>858</v>
          </cell>
          <cell r="R72">
            <v>870</v>
          </cell>
          <cell r="S72">
            <v>875</v>
          </cell>
          <cell r="T72">
            <v>879</v>
          </cell>
          <cell r="U72">
            <v>884</v>
          </cell>
          <cell r="V72">
            <v>888</v>
          </cell>
          <cell r="W72">
            <v>893</v>
          </cell>
          <cell r="X72">
            <v>898</v>
          </cell>
          <cell r="Y72">
            <v>902</v>
          </cell>
          <cell r="Z72">
            <v>907</v>
          </cell>
          <cell r="AA72">
            <v>910</v>
          </cell>
          <cell r="AB72">
            <v>912</v>
          </cell>
          <cell r="AC72">
            <v>915</v>
          </cell>
        </row>
        <row r="73">
          <cell r="B73" t="str">
            <v>Bangkok</v>
          </cell>
          <cell r="C73">
            <v>6347</v>
          </cell>
          <cell r="D73">
            <v>6376</v>
          </cell>
          <cell r="E73">
            <v>6405</v>
          </cell>
          <cell r="F73">
            <v>6434</v>
          </cell>
          <cell r="G73">
            <v>6463</v>
          </cell>
          <cell r="H73">
            <v>6491</v>
          </cell>
          <cell r="I73">
            <v>6665</v>
          </cell>
          <cell r="J73">
            <v>6841</v>
          </cell>
          <cell r="K73">
            <v>7018</v>
          </cell>
          <cell r="L73">
            <v>7197</v>
          </cell>
          <cell r="M73">
            <v>7378</v>
          </cell>
          <cell r="N73">
            <v>7559</v>
          </cell>
          <cell r="O73">
            <v>7742</v>
          </cell>
          <cell r="P73">
            <v>7925</v>
          </cell>
          <cell r="Q73">
            <v>8109</v>
          </cell>
          <cell r="R73">
            <v>8293</v>
          </cell>
          <cell r="S73">
            <v>8368</v>
          </cell>
          <cell r="T73">
            <v>8444</v>
          </cell>
          <cell r="U73">
            <v>8520</v>
          </cell>
          <cell r="V73">
            <v>8597</v>
          </cell>
          <cell r="W73">
            <v>8675</v>
          </cell>
          <cell r="X73">
            <v>8753</v>
          </cell>
          <cell r="Y73">
            <v>8832</v>
          </cell>
          <cell r="Z73">
            <v>8912</v>
          </cell>
          <cell r="AA73">
            <v>8958</v>
          </cell>
          <cell r="AB73">
            <v>8999</v>
          </cell>
          <cell r="AC73">
            <v>9034</v>
          </cell>
        </row>
        <row r="74">
          <cell r="B74" t="str">
            <v>Samut Prakan</v>
          </cell>
          <cell r="C74">
            <v>931</v>
          </cell>
          <cell r="D74">
            <v>957</v>
          </cell>
          <cell r="E74">
            <v>984</v>
          </cell>
          <cell r="F74">
            <v>1012</v>
          </cell>
          <cell r="G74">
            <v>1040</v>
          </cell>
          <cell r="H74">
            <v>1069</v>
          </cell>
          <cell r="I74">
            <v>1130</v>
          </cell>
          <cell r="J74">
            <v>1194</v>
          </cell>
          <cell r="K74">
            <v>1261</v>
          </cell>
          <cell r="L74">
            <v>1331</v>
          </cell>
          <cell r="M74">
            <v>1405</v>
          </cell>
          <cell r="N74">
            <v>1482</v>
          </cell>
          <cell r="O74">
            <v>1563</v>
          </cell>
          <cell r="P74">
            <v>1647</v>
          </cell>
          <cell r="Q74">
            <v>1735</v>
          </cell>
          <cell r="R74">
            <v>1827</v>
          </cell>
          <cell r="S74">
            <v>1868</v>
          </cell>
          <cell r="T74">
            <v>1909</v>
          </cell>
          <cell r="U74">
            <v>1949</v>
          </cell>
          <cell r="V74">
            <v>1990</v>
          </cell>
          <cell r="W74">
            <v>2031</v>
          </cell>
          <cell r="X74">
            <v>2075</v>
          </cell>
          <cell r="Y74">
            <v>2132</v>
          </cell>
          <cell r="Z74">
            <v>2171</v>
          </cell>
          <cell r="AA74">
            <v>2211</v>
          </cell>
          <cell r="AB74">
            <v>2250</v>
          </cell>
          <cell r="AC74">
            <v>2289</v>
          </cell>
        </row>
        <row r="75">
          <cell r="B75" t="str">
            <v>Pathum Thani</v>
          </cell>
          <cell r="C75">
            <v>547</v>
          </cell>
          <cell r="D75">
            <v>573</v>
          </cell>
          <cell r="E75">
            <v>600</v>
          </cell>
          <cell r="F75">
            <v>628</v>
          </cell>
          <cell r="G75">
            <v>657</v>
          </cell>
          <cell r="H75">
            <v>688</v>
          </cell>
          <cell r="I75">
            <v>736</v>
          </cell>
          <cell r="J75">
            <v>787</v>
          </cell>
          <cell r="K75">
            <v>842</v>
          </cell>
          <cell r="L75">
            <v>899</v>
          </cell>
          <cell r="M75">
            <v>960</v>
          </cell>
          <cell r="N75">
            <v>1025</v>
          </cell>
          <cell r="O75">
            <v>1094</v>
          </cell>
          <cell r="P75">
            <v>1167</v>
          </cell>
          <cell r="Q75">
            <v>1244</v>
          </cell>
          <cell r="R75">
            <v>1326</v>
          </cell>
          <cell r="S75">
            <v>1370</v>
          </cell>
          <cell r="T75">
            <v>1417</v>
          </cell>
          <cell r="U75">
            <v>1464</v>
          </cell>
          <cell r="V75">
            <v>1514</v>
          </cell>
          <cell r="W75">
            <v>1565</v>
          </cell>
          <cell r="X75">
            <v>1618</v>
          </cell>
          <cell r="Y75">
            <v>1672</v>
          </cell>
          <cell r="Z75">
            <v>1729</v>
          </cell>
          <cell r="AA75">
            <v>1758</v>
          </cell>
          <cell r="AB75">
            <v>1786</v>
          </cell>
          <cell r="AC75">
            <v>1814</v>
          </cell>
        </row>
        <row r="76">
          <cell r="B76" t="str">
            <v>Samut Sakhon</v>
          </cell>
          <cell r="C76">
            <v>400</v>
          </cell>
          <cell r="D76">
            <v>414</v>
          </cell>
          <cell r="E76">
            <v>428</v>
          </cell>
          <cell r="F76">
            <v>442</v>
          </cell>
          <cell r="G76">
            <v>458</v>
          </cell>
          <cell r="H76">
            <v>473</v>
          </cell>
          <cell r="I76">
            <v>505</v>
          </cell>
          <cell r="J76">
            <v>538</v>
          </cell>
          <cell r="K76">
            <v>573</v>
          </cell>
          <cell r="L76">
            <v>611</v>
          </cell>
          <cell r="M76">
            <v>650</v>
          </cell>
          <cell r="N76">
            <v>692</v>
          </cell>
          <cell r="O76">
            <v>736</v>
          </cell>
          <cell r="P76">
            <v>783</v>
          </cell>
          <cell r="Q76">
            <v>832</v>
          </cell>
          <cell r="R76">
            <v>884</v>
          </cell>
          <cell r="S76">
            <v>901</v>
          </cell>
          <cell r="T76">
            <v>919</v>
          </cell>
          <cell r="U76">
            <v>936</v>
          </cell>
          <cell r="V76">
            <v>954</v>
          </cell>
          <cell r="W76">
            <v>971</v>
          </cell>
          <cell r="X76">
            <v>984</v>
          </cell>
          <cell r="Y76">
            <v>1031</v>
          </cell>
          <cell r="Z76">
            <v>1042</v>
          </cell>
          <cell r="AA76">
            <v>1054</v>
          </cell>
          <cell r="AB76">
            <v>1065</v>
          </cell>
          <cell r="AC76">
            <v>1076</v>
          </cell>
        </row>
        <row r="77">
          <cell r="B77" t="str">
            <v>Nakhon Pathom</v>
          </cell>
          <cell r="C77">
            <v>741</v>
          </cell>
          <cell r="D77">
            <v>758</v>
          </cell>
          <cell r="E77">
            <v>774</v>
          </cell>
          <cell r="F77">
            <v>792</v>
          </cell>
          <cell r="G77">
            <v>809</v>
          </cell>
          <cell r="H77">
            <v>827</v>
          </cell>
          <cell r="I77">
            <v>840</v>
          </cell>
          <cell r="J77">
            <v>852</v>
          </cell>
          <cell r="K77">
            <v>864</v>
          </cell>
          <cell r="L77">
            <v>876</v>
          </cell>
          <cell r="M77">
            <v>888</v>
          </cell>
          <cell r="N77">
            <v>900</v>
          </cell>
          <cell r="O77">
            <v>911</v>
          </cell>
          <cell r="P77">
            <v>922</v>
          </cell>
          <cell r="Q77">
            <v>933</v>
          </cell>
          <cell r="R77">
            <v>943</v>
          </cell>
          <cell r="S77">
            <v>971</v>
          </cell>
          <cell r="T77">
            <v>999</v>
          </cell>
          <cell r="U77">
            <v>1028</v>
          </cell>
          <cell r="V77">
            <v>1056</v>
          </cell>
          <cell r="W77">
            <v>1084</v>
          </cell>
          <cell r="X77">
            <v>1110</v>
          </cell>
          <cell r="Y77">
            <v>1172</v>
          </cell>
          <cell r="Z77">
            <v>1186</v>
          </cell>
          <cell r="AA77">
            <v>1200</v>
          </cell>
          <cell r="AB77">
            <v>1214</v>
          </cell>
          <cell r="AC77">
            <v>1229</v>
          </cell>
        </row>
        <row r="78">
          <cell r="B78" t="str">
            <v>Nonthaburi</v>
          </cell>
          <cell r="C78">
            <v>709</v>
          </cell>
          <cell r="D78">
            <v>732</v>
          </cell>
          <cell r="E78">
            <v>755</v>
          </cell>
          <cell r="F78">
            <v>779</v>
          </cell>
          <cell r="G78">
            <v>804</v>
          </cell>
          <cell r="H78">
            <v>829</v>
          </cell>
          <cell r="I78">
            <v>871</v>
          </cell>
          <cell r="J78">
            <v>915</v>
          </cell>
          <cell r="K78">
            <v>961</v>
          </cell>
          <cell r="L78">
            <v>1008</v>
          </cell>
          <cell r="M78">
            <v>1057</v>
          </cell>
          <cell r="N78">
            <v>1109</v>
          </cell>
          <cell r="O78">
            <v>1162</v>
          </cell>
          <cell r="P78">
            <v>1217</v>
          </cell>
          <cell r="Q78">
            <v>1274</v>
          </cell>
          <cell r="R78">
            <v>1333</v>
          </cell>
          <cell r="S78">
            <v>1381</v>
          </cell>
          <cell r="T78">
            <v>1430</v>
          </cell>
          <cell r="U78">
            <v>1478</v>
          </cell>
          <cell r="V78">
            <v>1526</v>
          </cell>
          <cell r="W78">
            <v>1574</v>
          </cell>
          <cell r="X78">
            <v>1621</v>
          </cell>
          <cell r="Y78">
            <v>1693</v>
          </cell>
          <cell r="Z78">
            <v>1722</v>
          </cell>
          <cell r="AA78">
            <v>1752</v>
          </cell>
          <cell r="AB78">
            <v>1781</v>
          </cell>
          <cell r="AC78">
            <v>1810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_xy"/>
    </sheetNames>
    <sheetDataSet>
      <sheetData sheetId="0">
        <row r="2">
          <cell r="C2">
            <v>0</v>
          </cell>
          <cell r="J2">
            <v>103.826197458225</v>
          </cell>
          <cell r="K2">
            <v>15.922765424828</v>
          </cell>
        </row>
        <row r="3">
          <cell r="C3">
            <v>1</v>
          </cell>
          <cell r="J3">
            <v>100.18443170115501</v>
          </cell>
          <cell r="K3">
            <v>19.230924577642799</v>
          </cell>
        </row>
        <row r="4">
          <cell r="C4">
            <v>2</v>
          </cell>
          <cell r="J4">
            <v>100.135825156173</v>
          </cell>
          <cell r="K4">
            <v>15.6927766445404</v>
          </cell>
        </row>
        <row r="5">
          <cell r="C5">
            <v>3</v>
          </cell>
          <cell r="J5">
            <v>102.29647218185799</v>
          </cell>
          <cell r="K5">
            <v>17.1817743722182</v>
          </cell>
        </row>
        <row r="6">
          <cell r="C6">
            <v>4</v>
          </cell>
          <cell r="J6">
            <v>101.451490247541</v>
          </cell>
          <cell r="K6">
            <v>13.603437265525001</v>
          </cell>
        </row>
        <row r="7">
          <cell r="C7">
            <v>5</v>
          </cell>
          <cell r="J7">
            <v>103.662385150925</v>
          </cell>
          <cell r="K7">
            <v>14.888681501541701</v>
          </cell>
        </row>
        <row r="8">
          <cell r="C8">
            <v>6</v>
          </cell>
          <cell r="J8">
            <v>102.116594845671</v>
          </cell>
          <cell r="K8">
            <v>14.9573223229037</v>
          </cell>
        </row>
        <row r="9">
          <cell r="C9">
            <v>7</v>
          </cell>
          <cell r="J9">
            <v>99.698506189744194</v>
          </cell>
          <cell r="K9">
            <v>17.247575558431901</v>
          </cell>
        </row>
        <row r="10">
          <cell r="C10">
            <v>8</v>
          </cell>
          <cell r="J10">
            <v>99.620750053215204</v>
          </cell>
          <cell r="K10">
            <v>12.938430099841399</v>
          </cell>
        </row>
        <row r="11">
          <cell r="C11">
            <v>9</v>
          </cell>
          <cell r="J11">
            <v>101.802550628546</v>
          </cell>
          <cell r="K11">
            <v>16.007889826123499</v>
          </cell>
        </row>
        <row r="12">
          <cell r="C12">
            <v>10</v>
          </cell>
          <cell r="J12">
            <v>101.146980454518</v>
          </cell>
          <cell r="K12">
            <v>16.269803312012801</v>
          </cell>
        </row>
        <row r="13">
          <cell r="C13">
            <v>11</v>
          </cell>
          <cell r="J13">
            <v>99.090041377693893</v>
          </cell>
          <cell r="K13">
            <v>9.0467891940271308</v>
          </cell>
        </row>
        <row r="14">
          <cell r="C14">
            <v>12</v>
          </cell>
          <cell r="J14">
            <v>104.378026497783</v>
          </cell>
          <cell r="K14">
            <v>14.8543353201608</v>
          </cell>
        </row>
        <row r="15">
          <cell r="C15">
            <v>13</v>
          </cell>
          <cell r="J15">
            <v>102.835809088649</v>
          </cell>
          <cell r="K15">
            <v>17.935303717489901</v>
          </cell>
        </row>
        <row r="16">
          <cell r="C16">
            <v>14</v>
          </cell>
          <cell r="J16">
            <v>100.623657593133</v>
          </cell>
          <cell r="K16">
            <v>13.7719792463399</v>
          </cell>
        </row>
        <row r="17">
          <cell r="C17">
            <v>15</v>
          </cell>
          <cell r="J17">
            <v>102.585380559234</v>
          </cell>
          <cell r="K17">
            <v>16.404240600566599</v>
          </cell>
        </row>
        <row r="18">
          <cell r="C18">
            <v>16</v>
          </cell>
          <cell r="J18">
            <v>101.62937410098399</v>
          </cell>
          <cell r="K18">
            <v>17.410402392078499</v>
          </cell>
        </row>
        <row r="19">
          <cell r="C19">
            <v>17</v>
          </cell>
          <cell r="J19">
            <v>101.002897797782</v>
          </cell>
          <cell r="K19">
            <v>14.6189848745587</v>
          </cell>
        </row>
        <row r="20">
          <cell r="C20">
            <v>18</v>
          </cell>
          <cell r="J20">
            <v>99.464795134005399</v>
          </cell>
          <cell r="K20">
            <v>15.3411879763995</v>
          </cell>
        </row>
        <row r="21">
          <cell r="C21">
            <v>19</v>
          </cell>
          <cell r="J21">
            <v>99.062292530960406</v>
          </cell>
          <cell r="K21">
            <v>10.354881895026001</v>
          </cell>
        </row>
        <row r="22">
          <cell r="C22">
            <v>20</v>
          </cell>
          <cell r="J22">
            <v>103.62761093280599</v>
          </cell>
          <cell r="K22">
            <v>16.6307168045869</v>
          </cell>
        </row>
        <row r="23">
          <cell r="C23">
            <v>21</v>
          </cell>
          <cell r="J23">
            <v>100.53625038475499</v>
          </cell>
          <cell r="K23">
            <v>16.979553267452001</v>
          </cell>
        </row>
        <row r="24">
          <cell r="C24">
            <v>22</v>
          </cell>
          <cell r="J24">
            <v>98.701999932869001</v>
          </cell>
          <cell r="K24">
            <v>9.9748688745071998</v>
          </cell>
        </row>
        <row r="25">
          <cell r="C25">
            <v>23</v>
          </cell>
          <cell r="J25">
            <v>102.86068974216199</v>
          </cell>
          <cell r="K25">
            <v>17.4242941433588</v>
          </cell>
        </row>
        <row r="26">
          <cell r="C26">
            <v>24</v>
          </cell>
          <cell r="J26">
            <v>103.820929320631</v>
          </cell>
          <cell r="K26">
            <v>17.388370013987402</v>
          </cell>
        </row>
        <row r="27">
          <cell r="C27">
            <v>25</v>
          </cell>
          <cell r="J27">
            <v>99.873717493377796</v>
          </cell>
          <cell r="K27">
            <v>19.847354687906101</v>
          </cell>
        </row>
        <row r="28">
          <cell r="C28">
            <v>26</v>
          </cell>
          <cell r="J28">
            <v>98.809114290894698</v>
          </cell>
          <cell r="K28">
            <v>16.6641770876439</v>
          </cell>
        </row>
        <row r="29">
          <cell r="C29">
            <v>27</v>
          </cell>
          <cell r="J29">
            <v>100.106076986434</v>
          </cell>
          <cell r="K29">
            <v>13.923302846199</v>
          </cell>
        </row>
        <row r="30">
          <cell r="C30">
            <v>28</v>
          </cell>
          <cell r="J30">
            <v>98.959960150321805</v>
          </cell>
          <cell r="K30">
            <v>18.1313926573795</v>
          </cell>
        </row>
        <row r="31">
          <cell r="C31">
            <v>29</v>
          </cell>
          <cell r="J31">
            <v>102.522911271269</v>
          </cell>
          <cell r="K31">
            <v>12.3135230231906</v>
          </cell>
        </row>
        <row r="32">
          <cell r="C32">
            <v>30</v>
          </cell>
          <cell r="J32">
            <v>99.581543180739104</v>
          </cell>
          <cell r="K32">
            <v>13.5326744225239</v>
          </cell>
        </row>
        <row r="33">
          <cell r="C33">
            <v>31</v>
          </cell>
          <cell r="J33">
            <v>104.338020193115</v>
          </cell>
          <cell r="K33">
            <v>15.8890865712048</v>
          </cell>
        </row>
        <row r="34">
          <cell r="C34">
            <v>32</v>
          </cell>
          <cell r="J34">
            <v>100.06303579988101</v>
          </cell>
          <cell r="K34">
            <v>18.1947454199065</v>
          </cell>
        </row>
        <row r="35">
          <cell r="C35">
            <v>33</v>
          </cell>
          <cell r="J35">
            <v>101.233545376902</v>
          </cell>
          <cell r="K35">
            <v>6.1883908230766904</v>
          </cell>
        </row>
        <row r="36">
          <cell r="C36">
            <v>34</v>
          </cell>
          <cell r="J36">
            <v>100.52181037876601</v>
          </cell>
          <cell r="K36">
            <v>17.7489231135308</v>
          </cell>
        </row>
        <row r="37">
          <cell r="C37">
            <v>35</v>
          </cell>
          <cell r="J37">
            <v>102.963912972017</v>
          </cell>
          <cell r="K37">
            <v>14.814177576522001</v>
          </cell>
        </row>
        <row r="38">
          <cell r="C38">
            <v>36</v>
          </cell>
          <cell r="J38">
            <v>99.518405267639906</v>
          </cell>
          <cell r="K38">
            <v>16.3367261121365</v>
          </cell>
        </row>
        <row r="39">
          <cell r="C39">
            <v>37</v>
          </cell>
          <cell r="J39">
            <v>99.513472029334494</v>
          </cell>
          <cell r="K39">
            <v>18.335857259800601</v>
          </cell>
        </row>
        <row r="40">
          <cell r="C40">
            <v>38</v>
          </cell>
          <cell r="J40">
            <v>100.392404257153</v>
          </cell>
          <cell r="K40">
            <v>13.92497444941</v>
          </cell>
        </row>
        <row r="41">
          <cell r="C41">
            <v>39</v>
          </cell>
          <cell r="J41">
            <v>103.713301795894</v>
          </cell>
          <cell r="K41">
            <v>18.146621067507599</v>
          </cell>
        </row>
        <row r="42">
          <cell r="C42">
            <v>40</v>
          </cell>
          <cell r="J42">
            <v>101.72448422598301</v>
          </cell>
          <cell r="K42">
            <v>6.1749724712444998</v>
          </cell>
        </row>
        <row r="43">
          <cell r="C43">
            <v>41</v>
          </cell>
          <cell r="J43">
            <v>105.114434581963</v>
          </cell>
          <cell r="K43">
            <v>15.187499635869999</v>
          </cell>
        </row>
        <row r="44">
          <cell r="C44">
            <v>42</v>
          </cell>
          <cell r="J44">
            <v>99.632089979095099</v>
          </cell>
          <cell r="K44">
            <v>11.9301003821649</v>
          </cell>
        </row>
        <row r="45">
          <cell r="C45">
            <v>43</v>
          </cell>
          <cell r="J45">
            <v>100.543848939437</v>
          </cell>
          <cell r="K45">
            <v>6.93961120545453</v>
          </cell>
        </row>
        <row r="46">
          <cell r="C46">
            <v>44</v>
          </cell>
          <cell r="J46">
            <v>98.345398348810605</v>
          </cell>
          <cell r="K46">
            <v>7.9658279481673899</v>
          </cell>
        </row>
        <row r="47">
          <cell r="C47">
            <v>45</v>
          </cell>
          <cell r="J47">
            <v>100.35547709400799</v>
          </cell>
          <cell r="K47">
            <v>14.6232843264913</v>
          </cell>
        </row>
        <row r="48">
          <cell r="C48">
            <v>46</v>
          </cell>
          <cell r="J48">
            <v>103.177941405651</v>
          </cell>
          <cell r="K48">
            <v>15.992903703029899</v>
          </cell>
        </row>
        <row r="49">
          <cell r="C49">
            <v>47</v>
          </cell>
          <cell r="J49">
            <v>99.613009705404195</v>
          </cell>
          <cell r="K49">
            <v>7.5227712973332199</v>
          </cell>
        </row>
        <row r="50">
          <cell r="C50">
            <v>48</v>
          </cell>
          <cell r="J50">
            <v>99.899848308711199</v>
          </cell>
          <cell r="K50">
            <v>14.606305750134</v>
          </cell>
        </row>
        <row r="51">
          <cell r="C51">
            <v>49</v>
          </cell>
          <cell r="J51">
            <v>100.352936977166</v>
          </cell>
          <cell r="K51">
            <v>14.921262949940401</v>
          </cell>
        </row>
        <row r="52">
          <cell r="C52">
            <v>50</v>
          </cell>
          <cell r="J52">
            <v>99.956716987364004</v>
          </cell>
          <cell r="K52">
            <v>13.394176237199</v>
          </cell>
        </row>
        <row r="53">
          <cell r="C53">
            <v>51</v>
          </cell>
          <cell r="J53">
            <v>101.42461988039901</v>
          </cell>
          <cell r="K53">
            <v>12.851341342741</v>
          </cell>
        </row>
        <row r="54">
          <cell r="C54">
            <v>52</v>
          </cell>
          <cell r="J54">
            <v>101.68624466368701</v>
          </cell>
          <cell r="K54">
            <v>14.042329199064801</v>
          </cell>
        </row>
        <row r="55">
          <cell r="C55">
            <v>53</v>
          </cell>
          <cell r="J55">
            <v>100.527397108304</v>
          </cell>
          <cell r="K55">
            <v>14.3413793785006</v>
          </cell>
        </row>
        <row r="56">
          <cell r="C56">
            <v>54</v>
          </cell>
          <cell r="J56">
            <v>100.356936730565</v>
          </cell>
          <cell r="K56">
            <v>16.237024170656799</v>
          </cell>
        </row>
        <row r="57">
          <cell r="C57">
            <v>55</v>
          </cell>
          <cell r="J57">
            <v>100.069809002144</v>
          </cell>
          <cell r="K57">
            <v>7.5107859463014899</v>
          </cell>
        </row>
        <row r="58">
          <cell r="C58">
            <v>56</v>
          </cell>
          <cell r="J58">
            <v>98.419858791884494</v>
          </cell>
          <cell r="K58">
            <v>8.6790483311120994</v>
          </cell>
        </row>
        <row r="59">
          <cell r="C59">
            <v>57</v>
          </cell>
          <cell r="J59">
            <v>101.352548278027</v>
          </cell>
          <cell r="K59">
            <v>6.7285207925412296</v>
          </cell>
        </row>
        <row r="60">
          <cell r="C60">
            <v>58</v>
          </cell>
          <cell r="J60">
            <v>100.682991476845</v>
          </cell>
          <cell r="K60">
            <v>14.065076543771699</v>
          </cell>
        </row>
        <row r="61">
          <cell r="C61">
            <v>59</v>
          </cell>
          <cell r="J61">
            <v>99.775444103587503</v>
          </cell>
          <cell r="K61">
            <v>8.3684276181623094</v>
          </cell>
        </row>
        <row r="62">
          <cell r="C62">
            <v>60</v>
          </cell>
          <cell r="J62">
            <v>101.175395810754</v>
          </cell>
          <cell r="K62">
            <v>14.217185753861701</v>
          </cell>
        </row>
        <row r="63">
          <cell r="C63">
            <v>61</v>
          </cell>
          <cell r="J63">
            <v>104.516978928474</v>
          </cell>
          <cell r="K63">
            <v>16.563680406621199</v>
          </cell>
        </row>
        <row r="64">
          <cell r="C64">
            <v>62</v>
          </cell>
          <cell r="J64">
            <v>100.87509277913701</v>
          </cell>
          <cell r="K64">
            <v>15.0908507276498</v>
          </cell>
        </row>
        <row r="65">
          <cell r="C65">
            <v>63</v>
          </cell>
          <cell r="J65">
            <v>99.015385236602299</v>
          </cell>
          <cell r="K65">
            <v>8.1339899650387508</v>
          </cell>
        </row>
        <row r="66">
          <cell r="C66">
            <v>64</v>
          </cell>
          <cell r="J66">
            <v>101.20228578895301</v>
          </cell>
          <cell r="K66">
            <v>13.1903144562864</v>
          </cell>
        </row>
        <row r="67">
          <cell r="C67">
            <v>65</v>
          </cell>
          <cell r="J67">
            <v>98.734067373639803</v>
          </cell>
          <cell r="K67">
            <v>18.787707177469901</v>
          </cell>
        </row>
        <row r="68">
          <cell r="C68">
            <v>66</v>
          </cell>
          <cell r="J68">
            <v>100.02529027987499</v>
          </cell>
          <cell r="K68">
            <v>15.1360259530611</v>
          </cell>
        </row>
        <row r="69">
          <cell r="C69">
            <v>67</v>
          </cell>
          <cell r="J69">
            <v>104.743056257508</v>
          </cell>
          <cell r="K69">
            <v>15.8978546269019</v>
          </cell>
        </row>
        <row r="70">
          <cell r="C70">
            <v>68</v>
          </cell>
          <cell r="J70">
            <v>100.21562610582799</v>
          </cell>
          <cell r="K70">
            <v>13.5705696816559</v>
          </cell>
        </row>
        <row r="71">
          <cell r="C71">
            <v>69</v>
          </cell>
          <cell r="J71">
            <v>100.709792730689</v>
          </cell>
          <cell r="K71">
            <v>13.596484024758601</v>
          </cell>
        </row>
        <row r="72">
          <cell r="C72">
            <v>70</v>
          </cell>
          <cell r="J72">
            <v>100.83394188059199</v>
          </cell>
          <cell r="K72">
            <v>18.853632540548901</v>
          </cell>
        </row>
        <row r="73">
          <cell r="C73">
            <v>71</v>
          </cell>
          <cell r="J73">
            <v>102.129403771657</v>
          </cell>
          <cell r="K73">
            <v>12.861227836904799</v>
          </cell>
        </row>
        <row r="74">
          <cell r="C74">
            <v>72</v>
          </cell>
          <cell r="J74">
            <v>104.428705514963</v>
          </cell>
          <cell r="K74">
            <v>17.385660787061301</v>
          </cell>
        </row>
        <row r="75">
          <cell r="C75">
            <v>73</v>
          </cell>
          <cell r="J75">
            <v>99.050758470532202</v>
          </cell>
          <cell r="K75">
            <v>14.5852477364331</v>
          </cell>
        </row>
        <row r="76">
          <cell r="C76">
            <v>74</v>
          </cell>
          <cell r="J76">
            <v>98.029566776532604</v>
          </cell>
          <cell r="K76">
            <v>18.751740877339</v>
          </cell>
        </row>
        <row r="77">
          <cell r="C77">
            <v>75</v>
          </cell>
          <cell r="J77">
            <v>102.35067608660199</v>
          </cell>
          <cell r="K77">
            <v>13.759621588735801</v>
          </cell>
        </row>
        <row r="78">
          <cell r="C78">
            <v>76</v>
          </cell>
          <cell r="J78">
            <v>99.928620693514603</v>
          </cell>
          <cell r="K78">
            <v>6.8258574668823204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77FB74-C008-4AC0-956F-916D39C4CF1C}" autoFormatId="16" applyNumberFormats="0" applyBorderFormats="0" applyFontFormats="0" applyPatternFormats="0" applyAlignmentFormats="0" applyWidthHeightFormats="0">
  <queryTableRefresh nextId="220">
    <queryTableFields count="29">
      <queryTableField id="187" name="region" tableColumnId="154"/>
      <queryTableField id="188" name="province" tableColumnId="155"/>
      <queryTableField id="191" name="1995" tableColumnId="158"/>
      <queryTableField id="192" name="1996" tableColumnId="159"/>
      <queryTableField id="193" name="1997" tableColumnId="160"/>
      <queryTableField id="194" name="1998" tableColumnId="161"/>
      <queryTableField id="195" name="1999" tableColumnId="162"/>
      <queryTableField id="196" name="2000" tableColumnId="163"/>
      <queryTableField id="197" name="2001" tableColumnId="164"/>
      <queryTableField id="198" name="2002" tableColumnId="165"/>
      <queryTableField id="199" name="2003" tableColumnId="166"/>
      <queryTableField id="200" name="2004" tableColumnId="167"/>
      <queryTableField id="201" name="2005" tableColumnId="168"/>
      <queryTableField id="202" name="2006" tableColumnId="169"/>
      <queryTableField id="203" name="2007" tableColumnId="170"/>
      <queryTableField id="204" name="2008" tableColumnId="171"/>
      <queryTableField id="205" name="2009" tableColumnId="172"/>
      <queryTableField id="206" name="2010" tableColumnId="173"/>
      <queryTableField id="207" name="2011" tableColumnId="174"/>
      <queryTableField id="208" name="2012" tableColumnId="175"/>
      <queryTableField id="209" name="2013" tableColumnId="176"/>
      <queryTableField id="210" name="2014" tableColumnId="177"/>
      <queryTableField id="211" name="2015" tableColumnId="178"/>
      <queryTableField id="212" name="2016" tableColumnId="179"/>
      <queryTableField id="213" name="2017" tableColumnId="180"/>
      <queryTableField id="214" name="2018" tableColumnId="181"/>
      <queryTableField id="215" name="2019" tableColumnId="182"/>
      <queryTableField id="216" name="2020" tableColumnId="183"/>
      <queryTableField id="217" name="2021" tableColumnId="184"/>
    </queryTableFields>
    <queryTableDeletedFields count="2">
      <deletedField name="GPP (CVMs)"/>
      <deletedField name="GPP (CVM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48809-97AF-4C67-8134-D13FD5D42882}" name="Allprovinces" displayName="Allprovinces" ref="A1:AC78" tableType="queryTable" totalsRowShown="0">
  <autoFilter ref="A1:AC78" xr:uid="{A1E48809-97AF-4C67-8134-D13FD5D42882}"/>
  <tableColumns count="29">
    <tableColumn id="154" xr3:uid="{39DA8CF6-73C4-40C1-977F-2838EDB5CDE9}" uniqueName="154" name="region" queryTableFieldId="187" dataDxfId="1"/>
    <tableColumn id="155" xr3:uid="{5A2C675A-0F84-4B22-8A51-704C60C5CF76}" uniqueName="155" name="province" queryTableFieldId="188" dataDxfId="0"/>
    <tableColumn id="158" xr3:uid="{4FD7C1CA-FD77-4C77-9D87-132D911E920D}" uniqueName="158" name="1995" queryTableFieldId="191"/>
    <tableColumn id="159" xr3:uid="{5EBAA49C-6F54-465C-AFF3-9E554C352A33}" uniqueName="159" name="1996" queryTableFieldId="192"/>
    <tableColumn id="160" xr3:uid="{D3304E8B-C948-448C-A9B5-CD6459AEB080}" uniqueName="160" name="1997" queryTableFieldId="193"/>
    <tableColumn id="161" xr3:uid="{0281E360-A55E-402D-AB66-778D607EEF05}" uniqueName="161" name="1998" queryTableFieldId="194"/>
    <tableColumn id="162" xr3:uid="{9A69336F-B5D3-49AD-A041-BDF25BBE2BC7}" uniqueName="162" name="1999" queryTableFieldId="195"/>
    <tableColumn id="163" xr3:uid="{49EB99CE-E9E1-4970-B8C2-BF1FDC83B48C}" uniqueName="163" name="2000" queryTableFieldId="196"/>
    <tableColumn id="164" xr3:uid="{8CB8ACA4-9AE3-4D70-A9B9-DDF803562456}" uniqueName="164" name="2001" queryTableFieldId="197"/>
    <tableColumn id="165" xr3:uid="{653B1B08-D95C-4527-B63A-E06EF5F44B44}" uniqueName="165" name="2002" queryTableFieldId="198"/>
    <tableColumn id="166" xr3:uid="{DD3ED623-5592-415C-A250-FBA723E75FC9}" uniqueName="166" name="2003" queryTableFieldId="199"/>
    <tableColumn id="167" xr3:uid="{A10AA8F2-56F1-4813-8326-B85EEC3EE651}" uniqueName="167" name="2004" queryTableFieldId="200"/>
    <tableColumn id="168" xr3:uid="{E5C3C838-C1C6-4208-BD60-B94A7767D1F4}" uniqueName="168" name="2005" queryTableFieldId="201"/>
    <tableColumn id="169" xr3:uid="{703A625F-E2A2-4261-94A0-80EC73C12A51}" uniqueName="169" name="2006" queryTableFieldId="202"/>
    <tableColumn id="170" xr3:uid="{AAF5AFFF-A102-4B74-80D3-198D14784A96}" uniqueName="170" name="2007" queryTableFieldId="203"/>
    <tableColumn id="171" xr3:uid="{685071D2-1CF2-4CE9-BEF8-9B698883704F}" uniqueName="171" name="2008" queryTableFieldId="204"/>
    <tableColumn id="172" xr3:uid="{9FB45718-6113-49DC-98B4-5640E6ADE357}" uniqueName="172" name="2009" queryTableFieldId="205"/>
    <tableColumn id="173" xr3:uid="{8E4ECACB-BBDE-4A13-9AC3-1E9E47C8309C}" uniqueName="173" name="2010" queryTableFieldId="206"/>
    <tableColumn id="174" xr3:uid="{229C94E8-D084-405E-8D6F-0E012D7EF8D0}" uniqueName="174" name="2011" queryTableFieldId="207"/>
    <tableColumn id="175" xr3:uid="{240CA06B-129B-4C73-A24D-43BE7164761B}" uniqueName="175" name="2012" queryTableFieldId="208"/>
    <tableColumn id="176" xr3:uid="{FD42ABD7-DC8C-488B-AEC1-2148DD09F8D5}" uniqueName="176" name="2013" queryTableFieldId="209"/>
    <tableColumn id="177" xr3:uid="{4140DEBB-EA13-44DA-B40A-9E8238099ADA}" uniqueName="177" name="2014" queryTableFieldId="210"/>
    <tableColumn id="178" xr3:uid="{13D8EEC6-3799-4105-890C-9F6B33A5CB29}" uniqueName="178" name="2015" queryTableFieldId="211"/>
    <tableColumn id="179" xr3:uid="{363960D1-B598-43AE-9CE3-417ACD6FA8F3}" uniqueName="179" name="2016" queryTableFieldId="212"/>
    <tableColumn id="180" xr3:uid="{7BA8A204-4172-4E0C-B21D-31D82B2054D4}" uniqueName="180" name="2017" queryTableFieldId="213"/>
    <tableColumn id="181" xr3:uid="{8AA8B310-9156-4955-A810-CB62616FE6BC}" uniqueName="181" name="2018" queryTableFieldId="214"/>
    <tableColumn id="182" xr3:uid="{61A2EF04-8F9C-4B3D-92FE-318B9B8AFE43}" uniqueName="182" name="2019" queryTableFieldId="215"/>
    <tableColumn id="183" xr3:uid="{79A619C8-645C-45CB-82C7-CF6E4D228267}" uniqueName="183" name="2020" queryTableFieldId="216"/>
    <tableColumn id="184" xr3:uid="{A5BA251C-FEC4-47A5-B281-3F800C063A46}" uniqueName="184" name="2021" queryTableFieldId="2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829BE9-FA3F-4173-86A5-D135999F3622}">
  <we:reference id="wa104036095" version="1.1.0.0" store="en-US" storeType="OMEX"/>
  <we:alternateReferences>
    <we:reference id="WA104036095" version="1.1.0.0" store="WA10403609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C408-0BC6-4C84-B6BE-3D583EC7C10C}">
  <dimension ref="A1:HE154"/>
  <sheetViews>
    <sheetView topLeftCell="A56" workbookViewId="0">
      <selection sqref="A1:XFD1048576"/>
    </sheetView>
  </sheetViews>
  <sheetFormatPr defaultRowHeight="14.5" x14ac:dyDescent="0.35"/>
  <cols>
    <col min="1" max="1" width="8.36328125" bestFit="1" customWidth="1"/>
    <col min="2" max="2" width="22.6328125" bestFit="1" customWidth="1"/>
    <col min="3" max="29" width="7.81640625" bestFit="1" customWidth="1"/>
    <col min="30" max="31" width="11.81640625" bestFit="1" customWidth="1"/>
    <col min="32" max="32" width="10.54296875" bestFit="1" customWidth="1"/>
    <col min="33" max="33" width="10.81640625" bestFit="1" customWidth="1"/>
    <col min="34" max="34" width="10.54296875" bestFit="1" customWidth="1"/>
    <col min="35" max="35" width="10.81640625" bestFit="1" customWidth="1"/>
    <col min="36" max="36" width="10.54296875" bestFit="1" customWidth="1"/>
    <col min="37" max="37" width="10.81640625" bestFit="1" customWidth="1"/>
    <col min="38" max="38" width="10.54296875" bestFit="1" customWidth="1"/>
    <col min="39" max="39" width="10.81640625" bestFit="1" customWidth="1"/>
    <col min="40" max="41" width="14.7265625" bestFit="1" customWidth="1"/>
    <col min="42" max="43" width="12.7265625" bestFit="1" customWidth="1"/>
    <col min="44" max="45" width="11.54296875" bestFit="1" customWidth="1"/>
    <col min="46" max="47" width="17.453125" bestFit="1" customWidth="1"/>
    <col min="48" max="51" width="11.54296875" bestFit="1" customWidth="1"/>
    <col min="52" max="53" width="15.81640625" bestFit="1" customWidth="1"/>
    <col min="54" max="59" width="11.54296875" bestFit="1" customWidth="1"/>
    <col min="60" max="61" width="14.453125" bestFit="1" customWidth="1"/>
    <col min="62" max="63" width="11.54296875" bestFit="1" customWidth="1"/>
    <col min="64" max="65" width="15.6328125" bestFit="1" customWidth="1"/>
    <col min="66" max="67" width="14" bestFit="1" customWidth="1"/>
    <col min="68" max="70" width="11.54296875" bestFit="1" customWidth="1"/>
    <col min="71" max="71" width="11.81640625" bestFit="1" customWidth="1"/>
    <col min="72" max="75" width="11.54296875" bestFit="1" customWidth="1"/>
    <col min="76" max="77" width="13" bestFit="1" customWidth="1"/>
    <col min="78" max="87" width="11.54296875" bestFit="1" customWidth="1"/>
    <col min="88" max="89" width="13.26953125" bestFit="1" customWidth="1"/>
    <col min="90" max="91" width="11.54296875" bestFit="1" customWidth="1"/>
    <col min="92" max="93" width="15.26953125" bestFit="1" customWidth="1"/>
    <col min="94" max="104" width="11.54296875" bestFit="1" customWidth="1"/>
    <col min="105" max="105" width="11.81640625" bestFit="1" customWidth="1"/>
    <col min="106" max="106" width="11.54296875" bestFit="1" customWidth="1"/>
    <col min="107" max="107" width="11.81640625" bestFit="1" customWidth="1"/>
    <col min="108" max="115" width="11.54296875" bestFit="1" customWidth="1"/>
    <col min="116" max="117" width="19.453125" bestFit="1" customWidth="1"/>
    <col min="118" max="118" width="11.54296875" bestFit="1" customWidth="1"/>
    <col min="119" max="119" width="11.81640625" bestFit="1" customWidth="1"/>
    <col min="120" max="129" width="11.54296875" bestFit="1" customWidth="1"/>
    <col min="130" max="133" width="12.54296875" bestFit="1" customWidth="1"/>
    <col min="134" max="135" width="13" bestFit="1" customWidth="1"/>
    <col min="136" max="141" width="12.54296875" bestFit="1" customWidth="1"/>
    <col min="142" max="143" width="13" bestFit="1" customWidth="1"/>
    <col min="144" max="151" width="12.54296875" bestFit="1" customWidth="1"/>
    <col min="152" max="153" width="18" bestFit="1" customWidth="1"/>
    <col min="154" max="157" width="12.54296875" bestFit="1" customWidth="1"/>
    <col min="158" max="159" width="16" bestFit="1" customWidth="1"/>
    <col min="160" max="169" width="12.54296875" bestFit="1" customWidth="1"/>
    <col min="170" max="171" width="22.6328125" bestFit="1" customWidth="1"/>
    <col min="172" max="177" width="12.54296875" bestFit="1" customWidth="1"/>
    <col min="178" max="179" width="12.6328125" bestFit="1" customWidth="1"/>
    <col min="180" max="181" width="14.26953125" bestFit="1" customWidth="1"/>
    <col min="182" max="183" width="12.54296875" bestFit="1" customWidth="1"/>
    <col min="184" max="184" width="8.36328125" bestFit="1" customWidth="1"/>
    <col min="185" max="185" width="22.6328125" bestFit="1" customWidth="1"/>
    <col min="186" max="186" width="27.90625" bestFit="1" customWidth="1"/>
    <col min="187" max="213" width="8.7265625" style="1" bestFit="1" customWidth="1"/>
    <col min="214" max="216" width="11.81640625" bestFit="1" customWidth="1"/>
  </cols>
  <sheetData>
    <row r="1" spans="1:2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109</v>
      </c>
      <c r="AB1" t="s">
        <v>110</v>
      </c>
      <c r="AC1" t="s">
        <v>111</v>
      </c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</row>
    <row r="2" spans="1:213" x14ac:dyDescent="0.35">
      <c r="A2" t="s">
        <v>26</v>
      </c>
      <c r="B2" t="s">
        <v>27</v>
      </c>
      <c r="C2">
        <v>62512</v>
      </c>
      <c r="D2">
        <v>67612</v>
      </c>
      <c r="E2">
        <v>72141</v>
      </c>
      <c r="F2">
        <v>63392</v>
      </c>
      <c r="G2">
        <v>69125</v>
      </c>
      <c r="H2">
        <v>66556</v>
      </c>
      <c r="I2">
        <v>66324</v>
      </c>
      <c r="J2">
        <v>70862</v>
      </c>
      <c r="K2">
        <v>76994</v>
      </c>
      <c r="L2">
        <v>80677</v>
      </c>
      <c r="M2">
        <v>80538</v>
      </c>
      <c r="N2">
        <v>92180</v>
      </c>
      <c r="O2">
        <v>98618</v>
      </c>
      <c r="P2">
        <v>105213</v>
      </c>
      <c r="Q2">
        <v>110519</v>
      </c>
      <c r="R2">
        <v>112351</v>
      </c>
      <c r="S2">
        <v>117454</v>
      </c>
      <c r="T2">
        <v>131588</v>
      </c>
      <c r="U2">
        <v>125176</v>
      </c>
      <c r="V2">
        <v>124937</v>
      </c>
      <c r="W2">
        <v>126588</v>
      </c>
      <c r="X2">
        <v>126769</v>
      </c>
      <c r="Y2">
        <v>132027</v>
      </c>
      <c r="Z2">
        <v>136849</v>
      </c>
      <c r="AA2">
        <v>135169</v>
      </c>
      <c r="AB2">
        <v>130935</v>
      </c>
      <c r="AC2">
        <v>132615</v>
      </c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</row>
    <row r="3" spans="1:213" x14ac:dyDescent="0.35">
      <c r="A3" t="s">
        <v>26</v>
      </c>
      <c r="B3" t="s">
        <v>28</v>
      </c>
      <c r="C3">
        <v>33770</v>
      </c>
      <c r="D3">
        <v>36544</v>
      </c>
      <c r="E3">
        <v>37888</v>
      </c>
      <c r="F3">
        <v>34050</v>
      </c>
      <c r="G3">
        <v>35366</v>
      </c>
      <c r="H3">
        <v>37396</v>
      </c>
      <c r="I3">
        <v>35697</v>
      </c>
      <c r="J3">
        <v>38158</v>
      </c>
      <c r="K3">
        <v>42612</v>
      </c>
      <c r="L3">
        <v>42670</v>
      </c>
      <c r="M3">
        <v>41759</v>
      </c>
      <c r="N3">
        <v>43765</v>
      </c>
      <c r="O3">
        <v>49222</v>
      </c>
      <c r="P3">
        <v>47406</v>
      </c>
      <c r="Q3">
        <v>52171</v>
      </c>
      <c r="R3">
        <v>53399</v>
      </c>
      <c r="S3">
        <v>60063</v>
      </c>
      <c r="T3">
        <v>61787</v>
      </c>
      <c r="U3">
        <v>63793</v>
      </c>
      <c r="V3">
        <v>65708</v>
      </c>
      <c r="W3">
        <v>67665</v>
      </c>
      <c r="X3">
        <v>68264</v>
      </c>
      <c r="Y3">
        <v>69277</v>
      </c>
      <c r="Z3">
        <v>71375</v>
      </c>
      <c r="AA3">
        <v>71726</v>
      </c>
      <c r="AB3">
        <v>68995</v>
      </c>
      <c r="AC3">
        <v>71089</v>
      </c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</row>
    <row r="4" spans="1:213" x14ac:dyDescent="0.35">
      <c r="A4" t="s">
        <v>26</v>
      </c>
      <c r="B4" t="s">
        <v>29</v>
      </c>
      <c r="C4">
        <v>11280</v>
      </c>
      <c r="D4">
        <v>12585</v>
      </c>
      <c r="E4">
        <v>12783</v>
      </c>
      <c r="F4">
        <v>12744</v>
      </c>
      <c r="G4">
        <v>13054</v>
      </c>
      <c r="H4">
        <v>14075</v>
      </c>
      <c r="I4">
        <v>13855</v>
      </c>
      <c r="J4">
        <v>14595</v>
      </c>
      <c r="K4">
        <v>14995</v>
      </c>
      <c r="L4">
        <v>15341</v>
      </c>
      <c r="M4">
        <v>15604</v>
      </c>
      <c r="N4">
        <v>16285</v>
      </c>
      <c r="O4">
        <v>17655</v>
      </c>
      <c r="P4">
        <v>17471</v>
      </c>
      <c r="Q4">
        <v>17919</v>
      </c>
      <c r="R4">
        <v>19442</v>
      </c>
      <c r="S4">
        <v>21808</v>
      </c>
      <c r="T4">
        <v>23951</v>
      </c>
      <c r="U4">
        <v>24554</v>
      </c>
      <c r="V4">
        <v>25944</v>
      </c>
      <c r="W4">
        <v>26696</v>
      </c>
      <c r="X4">
        <v>28228</v>
      </c>
      <c r="Y4">
        <v>30627</v>
      </c>
      <c r="Z4">
        <v>33994</v>
      </c>
      <c r="AA4">
        <v>33241</v>
      </c>
      <c r="AB4">
        <v>31437</v>
      </c>
      <c r="AC4">
        <v>32686</v>
      </c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</row>
    <row r="5" spans="1:213" x14ac:dyDescent="0.35">
      <c r="A5" t="s">
        <v>26</v>
      </c>
      <c r="B5" t="s">
        <v>30</v>
      </c>
      <c r="C5">
        <v>18665</v>
      </c>
      <c r="D5">
        <v>18648</v>
      </c>
      <c r="E5">
        <v>18487</v>
      </c>
      <c r="F5">
        <v>18797</v>
      </c>
      <c r="G5">
        <v>20995</v>
      </c>
      <c r="H5">
        <v>18447</v>
      </c>
      <c r="I5">
        <v>17954</v>
      </c>
      <c r="J5">
        <v>20520</v>
      </c>
      <c r="K5">
        <v>21503</v>
      </c>
      <c r="L5">
        <v>22533</v>
      </c>
      <c r="M5">
        <v>23274</v>
      </c>
      <c r="N5">
        <v>24222</v>
      </c>
      <c r="O5">
        <v>24125</v>
      </c>
      <c r="P5">
        <v>25525</v>
      </c>
      <c r="Q5">
        <v>27769</v>
      </c>
      <c r="R5">
        <v>29177</v>
      </c>
      <c r="S5">
        <v>21581</v>
      </c>
      <c r="T5">
        <v>21675</v>
      </c>
      <c r="U5">
        <v>21877</v>
      </c>
      <c r="V5">
        <v>21535</v>
      </c>
      <c r="W5">
        <v>22480</v>
      </c>
      <c r="X5">
        <v>23228</v>
      </c>
      <c r="Y5">
        <v>23734</v>
      </c>
      <c r="Z5">
        <v>23528</v>
      </c>
      <c r="AA5">
        <v>23910</v>
      </c>
      <c r="AB5">
        <v>24139</v>
      </c>
      <c r="AC5">
        <v>25096</v>
      </c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</row>
    <row r="6" spans="1:213" x14ac:dyDescent="0.35">
      <c r="A6" t="s">
        <v>26</v>
      </c>
      <c r="B6" t="s">
        <v>31</v>
      </c>
      <c r="C6">
        <v>6872</v>
      </c>
      <c r="D6">
        <v>7289</v>
      </c>
      <c r="E6">
        <v>7050</v>
      </c>
      <c r="F6">
        <v>6522</v>
      </c>
      <c r="G6">
        <v>6881</v>
      </c>
      <c r="H6">
        <v>7617</v>
      </c>
      <c r="I6">
        <v>7477</v>
      </c>
      <c r="J6">
        <v>7908</v>
      </c>
      <c r="K6">
        <v>8654</v>
      </c>
      <c r="L6">
        <v>8730</v>
      </c>
      <c r="M6">
        <v>8733</v>
      </c>
      <c r="N6">
        <v>9089</v>
      </c>
      <c r="O6">
        <v>9630</v>
      </c>
      <c r="P6">
        <v>9648</v>
      </c>
      <c r="Q6">
        <v>10416</v>
      </c>
      <c r="R6">
        <v>10798</v>
      </c>
      <c r="S6">
        <v>12498</v>
      </c>
      <c r="T6">
        <v>12577</v>
      </c>
      <c r="U6">
        <v>13933</v>
      </c>
      <c r="V6">
        <v>14134</v>
      </c>
      <c r="W6">
        <v>14615</v>
      </c>
      <c r="X6">
        <v>15044</v>
      </c>
      <c r="Y6">
        <v>16236</v>
      </c>
      <c r="Z6">
        <v>16530</v>
      </c>
      <c r="AA6">
        <v>17319</v>
      </c>
      <c r="AB6">
        <v>16223</v>
      </c>
      <c r="AC6">
        <v>17534</v>
      </c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</row>
    <row r="7" spans="1:213" x14ac:dyDescent="0.35">
      <c r="A7" t="s">
        <v>26</v>
      </c>
      <c r="B7" t="s">
        <v>32</v>
      </c>
      <c r="C7">
        <v>11537</v>
      </c>
      <c r="D7">
        <v>12986</v>
      </c>
      <c r="E7">
        <v>12161</v>
      </c>
      <c r="F7">
        <v>12824</v>
      </c>
      <c r="G7">
        <v>14513</v>
      </c>
      <c r="H7">
        <v>13802</v>
      </c>
      <c r="I7">
        <v>13617</v>
      </c>
      <c r="J7">
        <v>13867</v>
      </c>
      <c r="K7">
        <v>14948</v>
      </c>
      <c r="L7">
        <v>14622</v>
      </c>
      <c r="M7">
        <v>14669</v>
      </c>
      <c r="N7">
        <v>15238</v>
      </c>
      <c r="O7">
        <v>15649</v>
      </c>
      <c r="P7">
        <v>16106</v>
      </c>
      <c r="Q7">
        <v>17635</v>
      </c>
      <c r="R7">
        <v>18703</v>
      </c>
      <c r="S7">
        <v>19896</v>
      </c>
      <c r="T7">
        <v>22914</v>
      </c>
      <c r="U7">
        <v>22475</v>
      </c>
      <c r="V7">
        <v>22149</v>
      </c>
      <c r="W7">
        <v>22863</v>
      </c>
      <c r="X7">
        <v>24192</v>
      </c>
      <c r="Y7">
        <v>24355</v>
      </c>
      <c r="Z7">
        <v>23762</v>
      </c>
      <c r="AA7">
        <v>24269</v>
      </c>
      <c r="AB7">
        <v>25052</v>
      </c>
      <c r="AC7">
        <v>26042</v>
      </c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</row>
    <row r="8" spans="1:213" x14ac:dyDescent="0.35">
      <c r="A8" t="s">
        <v>26</v>
      </c>
      <c r="B8" t="s">
        <v>33</v>
      </c>
      <c r="C8">
        <v>18362</v>
      </c>
      <c r="D8">
        <v>20706</v>
      </c>
      <c r="E8">
        <v>18135</v>
      </c>
      <c r="F8">
        <v>17875</v>
      </c>
      <c r="G8">
        <v>19229</v>
      </c>
      <c r="H8">
        <v>20028</v>
      </c>
      <c r="I8">
        <v>21077</v>
      </c>
      <c r="J8">
        <v>21076</v>
      </c>
      <c r="K8">
        <v>23442</v>
      </c>
      <c r="L8">
        <v>24900</v>
      </c>
      <c r="M8">
        <v>26012</v>
      </c>
      <c r="N8">
        <v>23637</v>
      </c>
      <c r="O8">
        <v>23936</v>
      </c>
      <c r="P8">
        <v>24155</v>
      </c>
      <c r="Q8">
        <v>25822</v>
      </c>
      <c r="R8">
        <v>26236</v>
      </c>
      <c r="S8">
        <v>27347</v>
      </c>
      <c r="T8">
        <v>29775</v>
      </c>
      <c r="U8">
        <v>30313</v>
      </c>
      <c r="V8">
        <v>29899</v>
      </c>
      <c r="W8">
        <v>30798</v>
      </c>
      <c r="X8">
        <v>33157</v>
      </c>
      <c r="Y8">
        <v>33673</v>
      </c>
      <c r="Z8">
        <v>34790</v>
      </c>
      <c r="AA8">
        <v>34643</v>
      </c>
      <c r="AB8">
        <v>36375</v>
      </c>
      <c r="AC8">
        <v>37075</v>
      </c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</row>
    <row r="9" spans="1:213" x14ac:dyDescent="0.35">
      <c r="A9" t="s">
        <v>26</v>
      </c>
      <c r="B9" t="s">
        <v>34</v>
      </c>
      <c r="C9">
        <v>14664</v>
      </c>
      <c r="D9">
        <v>14730</v>
      </c>
      <c r="E9">
        <v>14707</v>
      </c>
      <c r="F9">
        <v>16160</v>
      </c>
      <c r="G9">
        <v>15493</v>
      </c>
      <c r="H9">
        <v>16680</v>
      </c>
      <c r="I9">
        <v>16711</v>
      </c>
      <c r="J9">
        <v>18065</v>
      </c>
      <c r="K9">
        <v>20280</v>
      </c>
      <c r="L9">
        <v>21370</v>
      </c>
      <c r="M9">
        <v>20882</v>
      </c>
      <c r="N9">
        <v>22519</v>
      </c>
      <c r="O9">
        <v>24127</v>
      </c>
      <c r="P9">
        <v>23507</v>
      </c>
      <c r="Q9">
        <v>25372</v>
      </c>
      <c r="R9">
        <v>26086</v>
      </c>
      <c r="S9">
        <v>28779</v>
      </c>
      <c r="T9">
        <v>30268</v>
      </c>
      <c r="U9">
        <v>30538</v>
      </c>
      <c r="V9">
        <v>31043</v>
      </c>
      <c r="W9">
        <v>31805</v>
      </c>
      <c r="X9">
        <v>32695</v>
      </c>
      <c r="Y9">
        <v>33251</v>
      </c>
      <c r="Z9">
        <v>37024</v>
      </c>
      <c r="AA9">
        <v>36104</v>
      </c>
      <c r="AB9">
        <v>34565</v>
      </c>
      <c r="AC9">
        <v>35750</v>
      </c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</row>
    <row r="10" spans="1:213" x14ac:dyDescent="0.35">
      <c r="A10" t="s">
        <v>26</v>
      </c>
      <c r="B10" t="s">
        <v>35</v>
      </c>
      <c r="C10">
        <v>90389</v>
      </c>
      <c r="D10">
        <v>99686</v>
      </c>
      <c r="E10">
        <v>99867</v>
      </c>
      <c r="F10">
        <v>86903</v>
      </c>
      <c r="G10">
        <v>91251</v>
      </c>
      <c r="H10">
        <v>94455</v>
      </c>
      <c r="I10">
        <v>96450</v>
      </c>
      <c r="J10">
        <v>102990</v>
      </c>
      <c r="K10">
        <v>114223</v>
      </c>
      <c r="L10">
        <v>116907</v>
      </c>
      <c r="M10">
        <v>121066</v>
      </c>
      <c r="N10">
        <v>125922</v>
      </c>
      <c r="O10">
        <v>132000</v>
      </c>
      <c r="P10">
        <v>123862</v>
      </c>
      <c r="Q10">
        <v>129332</v>
      </c>
      <c r="R10">
        <v>136064</v>
      </c>
      <c r="S10">
        <v>147251</v>
      </c>
      <c r="T10">
        <v>160851</v>
      </c>
      <c r="U10">
        <v>160624</v>
      </c>
      <c r="V10">
        <v>160847</v>
      </c>
      <c r="W10">
        <v>163289</v>
      </c>
      <c r="X10">
        <v>168843</v>
      </c>
      <c r="Y10">
        <v>177028</v>
      </c>
      <c r="Z10">
        <v>187488</v>
      </c>
      <c r="AA10">
        <v>185904</v>
      </c>
      <c r="AB10">
        <v>183955</v>
      </c>
      <c r="AC10">
        <v>194006</v>
      </c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</row>
    <row r="11" spans="1:213" x14ac:dyDescent="0.35">
      <c r="A11" t="s">
        <v>26</v>
      </c>
      <c r="B11" t="s">
        <v>36</v>
      </c>
      <c r="C11">
        <v>18978</v>
      </c>
      <c r="D11">
        <v>21052</v>
      </c>
      <c r="E11">
        <v>20257</v>
      </c>
      <c r="F11">
        <v>19116</v>
      </c>
      <c r="G11">
        <v>20570</v>
      </c>
      <c r="H11">
        <v>22456</v>
      </c>
      <c r="I11">
        <v>22918</v>
      </c>
      <c r="J11">
        <v>22122</v>
      </c>
      <c r="K11">
        <v>24567</v>
      </c>
      <c r="L11">
        <v>24175</v>
      </c>
      <c r="M11">
        <v>23496</v>
      </c>
      <c r="N11">
        <v>25449</v>
      </c>
      <c r="O11">
        <v>27100</v>
      </c>
      <c r="P11">
        <v>27663</v>
      </c>
      <c r="Q11">
        <v>30080</v>
      </c>
      <c r="R11">
        <v>30583</v>
      </c>
      <c r="S11">
        <v>33354</v>
      </c>
      <c r="T11">
        <v>34967</v>
      </c>
      <c r="U11">
        <v>35232</v>
      </c>
      <c r="V11">
        <v>34526</v>
      </c>
      <c r="W11">
        <v>35455</v>
      </c>
      <c r="X11">
        <v>37594</v>
      </c>
      <c r="Y11">
        <v>38257</v>
      </c>
      <c r="Z11">
        <v>40427</v>
      </c>
      <c r="AA11">
        <v>38915</v>
      </c>
      <c r="AB11">
        <v>38898</v>
      </c>
      <c r="AC11">
        <v>39794</v>
      </c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</row>
    <row r="12" spans="1:213" x14ac:dyDescent="0.35">
      <c r="A12" t="s">
        <v>26</v>
      </c>
      <c r="B12" t="s">
        <v>37</v>
      </c>
      <c r="C12">
        <v>8585</v>
      </c>
      <c r="D12">
        <v>8735</v>
      </c>
      <c r="E12">
        <v>9025</v>
      </c>
      <c r="F12">
        <v>9029</v>
      </c>
      <c r="G12">
        <v>9236</v>
      </c>
      <c r="H12">
        <v>9690</v>
      </c>
      <c r="I12">
        <v>9879</v>
      </c>
      <c r="J12">
        <v>10215</v>
      </c>
      <c r="K12">
        <v>11041</v>
      </c>
      <c r="L12">
        <v>11647</v>
      </c>
      <c r="M12">
        <v>11430</v>
      </c>
      <c r="N12">
        <v>11797</v>
      </c>
      <c r="O12">
        <v>12017</v>
      </c>
      <c r="P12">
        <v>11970</v>
      </c>
      <c r="Q12">
        <v>12549</v>
      </c>
      <c r="R12">
        <v>14126</v>
      </c>
      <c r="S12">
        <v>14773</v>
      </c>
      <c r="T12">
        <v>15456</v>
      </c>
      <c r="U12">
        <v>15806</v>
      </c>
      <c r="V12">
        <v>15675</v>
      </c>
      <c r="W12">
        <v>15405</v>
      </c>
      <c r="X12">
        <v>16139</v>
      </c>
      <c r="Y12">
        <v>16225</v>
      </c>
      <c r="Z12">
        <v>16779</v>
      </c>
      <c r="AA12">
        <v>16689</v>
      </c>
      <c r="AB12">
        <v>17636</v>
      </c>
      <c r="AC12">
        <v>18311</v>
      </c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</row>
    <row r="13" spans="1:213" x14ac:dyDescent="0.35">
      <c r="A13" t="s">
        <v>26</v>
      </c>
      <c r="B13" t="s">
        <v>38</v>
      </c>
      <c r="C13">
        <v>35372</v>
      </c>
      <c r="D13">
        <v>38000</v>
      </c>
      <c r="E13">
        <v>39245</v>
      </c>
      <c r="F13">
        <v>37406</v>
      </c>
      <c r="G13">
        <v>39976</v>
      </c>
      <c r="H13">
        <v>36925</v>
      </c>
      <c r="I13">
        <v>37702</v>
      </c>
      <c r="J13">
        <v>41748</v>
      </c>
      <c r="K13">
        <v>44521</v>
      </c>
      <c r="L13">
        <v>44521</v>
      </c>
      <c r="M13">
        <v>46029</v>
      </c>
      <c r="N13">
        <v>46539</v>
      </c>
      <c r="O13">
        <v>47287</v>
      </c>
      <c r="P13">
        <v>47368</v>
      </c>
      <c r="Q13">
        <v>50868</v>
      </c>
      <c r="R13">
        <v>56302</v>
      </c>
      <c r="S13">
        <v>60436</v>
      </c>
      <c r="T13">
        <v>66380</v>
      </c>
      <c r="U13">
        <v>69736</v>
      </c>
      <c r="V13">
        <v>65343</v>
      </c>
      <c r="W13">
        <v>69783</v>
      </c>
      <c r="X13">
        <v>72986</v>
      </c>
      <c r="Y13">
        <v>77070</v>
      </c>
      <c r="Z13">
        <v>76485</v>
      </c>
      <c r="AA13">
        <v>76531</v>
      </c>
      <c r="AB13">
        <v>78127</v>
      </c>
      <c r="AC13">
        <v>80456</v>
      </c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</row>
    <row r="14" spans="1:213" x14ac:dyDescent="0.35">
      <c r="A14" t="s">
        <v>26</v>
      </c>
      <c r="B14" t="s">
        <v>39</v>
      </c>
      <c r="C14">
        <v>19574</v>
      </c>
      <c r="D14">
        <v>21283</v>
      </c>
      <c r="E14">
        <v>22726</v>
      </c>
      <c r="F14">
        <v>21765</v>
      </c>
      <c r="G14">
        <v>22276</v>
      </c>
      <c r="H14">
        <v>23268</v>
      </c>
      <c r="I14">
        <v>24419</v>
      </c>
      <c r="J14">
        <v>25001</v>
      </c>
      <c r="K14">
        <v>27286</v>
      </c>
      <c r="L14">
        <v>27939</v>
      </c>
      <c r="M14">
        <v>28827</v>
      </c>
      <c r="N14">
        <v>30425</v>
      </c>
      <c r="O14">
        <v>32413</v>
      </c>
      <c r="P14">
        <v>31476</v>
      </c>
      <c r="Q14">
        <v>33520</v>
      </c>
      <c r="R14">
        <v>37083</v>
      </c>
      <c r="S14">
        <v>37165</v>
      </c>
      <c r="T14">
        <v>40333</v>
      </c>
      <c r="U14">
        <v>40130</v>
      </c>
      <c r="V14">
        <v>40204</v>
      </c>
      <c r="W14">
        <v>40873</v>
      </c>
      <c r="X14">
        <v>42244</v>
      </c>
      <c r="Y14">
        <v>43890</v>
      </c>
      <c r="Z14">
        <v>45204</v>
      </c>
      <c r="AA14">
        <v>44188</v>
      </c>
      <c r="AB14">
        <v>45580</v>
      </c>
      <c r="AC14">
        <v>46628</v>
      </c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</row>
    <row r="15" spans="1:213" x14ac:dyDescent="0.35">
      <c r="A15" t="s">
        <v>26</v>
      </c>
      <c r="B15" t="s">
        <v>40</v>
      </c>
      <c r="C15">
        <v>27771</v>
      </c>
      <c r="D15">
        <v>28942</v>
      </c>
      <c r="E15">
        <v>28263</v>
      </c>
      <c r="F15">
        <v>27805</v>
      </c>
      <c r="G15">
        <v>30582</v>
      </c>
      <c r="H15">
        <v>27018</v>
      </c>
      <c r="I15">
        <v>27044</v>
      </c>
      <c r="J15">
        <v>31121</v>
      </c>
      <c r="K15">
        <v>31795</v>
      </c>
      <c r="L15">
        <v>33229</v>
      </c>
      <c r="M15">
        <v>33714</v>
      </c>
      <c r="N15">
        <v>35815</v>
      </c>
      <c r="O15">
        <v>36939</v>
      </c>
      <c r="P15">
        <v>37014</v>
      </c>
      <c r="Q15">
        <v>39310</v>
      </c>
      <c r="R15">
        <v>42755</v>
      </c>
      <c r="S15">
        <v>45420</v>
      </c>
      <c r="T15">
        <v>44970</v>
      </c>
      <c r="U15">
        <v>47499</v>
      </c>
      <c r="V15">
        <v>47208</v>
      </c>
      <c r="W15">
        <v>49888</v>
      </c>
      <c r="X15">
        <v>50587</v>
      </c>
      <c r="Y15">
        <v>51562</v>
      </c>
      <c r="Z15">
        <v>52118</v>
      </c>
      <c r="AA15">
        <v>52602</v>
      </c>
      <c r="AB15">
        <v>54066</v>
      </c>
      <c r="AC15">
        <v>56151</v>
      </c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</row>
    <row r="16" spans="1:213" x14ac:dyDescent="0.35">
      <c r="A16" t="s">
        <v>26</v>
      </c>
      <c r="B16" t="s">
        <v>41</v>
      </c>
      <c r="C16">
        <v>20966</v>
      </c>
      <c r="D16">
        <v>22417</v>
      </c>
      <c r="E16">
        <v>22521</v>
      </c>
      <c r="F16">
        <v>21978</v>
      </c>
      <c r="G16">
        <v>22885</v>
      </c>
      <c r="H16">
        <v>23927</v>
      </c>
      <c r="I16">
        <v>24284</v>
      </c>
      <c r="J16">
        <v>25185</v>
      </c>
      <c r="K16">
        <v>26913</v>
      </c>
      <c r="L16">
        <v>27799</v>
      </c>
      <c r="M16">
        <v>28473</v>
      </c>
      <c r="N16">
        <v>30090</v>
      </c>
      <c r="O16">
        <v>32333</v>
      </c>
      <c r="P16">
        <v>30940</v>
      </c>
      <c r="Q16">
        <v>33398</v>
      </c>
      <c r="R16">
        <v>35823</v>
      </c>
      <c r="S16">
        <v>38224</v>
      </c>
      <c r="T16">
        <v>40036</v>
      </c>
      <c r="U16">
        <v>41040</v>
      </c>
      <c r="V16">
        <v>40482</v>
      </c>
      <c r="W16">
        <v>42506</v>
      </c>
      <c r="X16">
        <v>43551</v>
      </c>
      <c r="Y16">
        <v>44598</v>
      </c>
      <c r="Z16">
        <v>47496</v>
      </c>
      <c r="AA16">
        <v>47208</v>
      </c>
      <c r="AB16">
        <v>49255</v>
      </c>
      <c r="AC16">
        <v>49620</v>
      </c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</row>
    <row r="17" spans="1:213" x14ac:dyDescent="0.35">
      <c r="A17" t="s">
        <v>26</v>
      </c>
      <c r="B17" t="s">
        <v>42</v>
      </c>
      <c r="C17">
        <v>14752</v>
      </c>
      <c r="D17">
        <v>15947</v>
      </c>
      <c r="E17">
        <v>16284</v>
      </c>
      <c r="F17">
        <v>16377</v>
      </c>
      <c r="G17">
        <v>17444</v>
      </c>
      <c r="H17">
        <v>17384</v>
      </c>
      <c r="I17">
        <v>18146</v>
      </c>
      <c r="J17">
        <v>17876</v>
      </c>
      <c r="K17">
        <v>19416</v>
      </c>
      <c r="L17">
        <v>20153</v>
      </c>
      <c r="M17">
        <v>21119</v>
      </c>
      <c r="N17">
        <v>21819</v>
      </c>
      <c r="O17">
        <v>22768</v>
      </c>
      <c r="P17">
        <v>22913</v>
      </c>
      <c r="Q17">
        <v>24459</v>
      </c>
      <c r="R17">
        <v>26445</v>
      </c>
      <c r="S17">
        <v>28156</v>
      </c>
      <c r="T17">
        <v>29127</v>
      </c>
      <c r="U17">
        <v>29095</v>
      </c>
      <c r="V17">
        <v>29537</v>
      </c>
      <c r="W17">
        <v>30419</v>
      </c>
      <c r="X17">
        <v>32111</v>
      </c>
      <c r="Y17">
        <v>33512</v>
      </c>
      <c r="Z17">
        <v>34391</v>
      </c>
      <c r="AA17">
        <v>33797</v>
      </c>
      <c r="AB17">
        <v>35199</v>
      </c>
      <c r="AC17">
        <v>36935</v>
      </c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</row>
    <row r="18" spans="1:213" x14ac:dyDescent="0.35">
      <c r="A18" t="s">
        <v>26</v>
      </c>
      <c r="B18" t="s">
        <v>43</v>
      </c>
      <c r="C18">
        <v>19622</v>
      </c>
      <c r="D18">
        <v>20495</v>
      </c>
      <c r="E18">
        <v>20709</v>
      </c>
      <c r="F18">
        <v>19423</v>
      </c>
      <c r="G18">
        <v>20152</v>
      </c>
      <c r="H18">
        <v>20894</v>
      </c>
      <c r="I18">
        <v>22137</v>
      </c>
      <c r="J18">
        <v>22076</v>
      </c>
      <c r="K18">
        <v>24612</v>
      </c>
      <c r="L18">
        <v>25224</v>
      </c>
      <c r="M18">
        <v>26453</v>
      </c>
      <c r="N18">
        <v>28034</v>
      </c>
      <c r="O18">
        <v>29124</v>
      </c>
      <c r="P18">
        <v>28567</v>
      </c>
      <c r="Q18">
        <v>29919</v>
      </c>
      <c r="R18">
        <v>33354</v>
      </c>
      <c r="S18">
        <v>35325</v>
      </c>
      <c r="T18">
        <v>37577</v>
      </c>
      <c r="U18">
        <v>37189</v>
      </c>
      <c r="V18">
        <v>36857</v>
      </c>
      <c r="W18">
        <v>38092</v>
      </c>
      <c r="X18">
        <v>39594</v>
      </c>
      <c r="Y18">
        <v>40842</v>
      </c>
      <c r="Z18">
        <v>41807</v>
      </c>
      <c r="AA18">
        <v>40061</v>
      </c>
      <c r="AB18">
        <v>41947</v>
      </c>
      <c r="AC18">
        <v>42648</v>
      </c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</row>
    <row r="19" spans="1:213" x14ac:dyDescent="0.35">
      <c r="A19" t="s">
        <v>26</v>
      </c>
      <c r="B19" t="s">
        <v>44</v>
      </c>
      <c r="C19">
        <v>7434</v>
      </c>
      <c r="D19">
        <v>7923</v>
      </c>
      <c r="E19">
        <v>7998</v>
      </c>
      <c r="F19">
        <v>7418</v>
      </c>
      <c r="G19">
        <v>7300</v>
      </c>
      <c r="H19">
        <v>7471</v>
      </c>
      <c r="I19">
        <v>7667</v>
      </c>
      <c r="J19">
        <v>7731</v>
      </c>
      <c r="K19">
        <v>8938</v>
      </c>
      <c r="L19">
        <v>9562</v>
      </c>
      <c r="M19">
        <v>10003</v>
      </c>
      <c r="N19">
        <v>11040</v>
      </c>
      <c r="O19">
        <v>12140</v>
      </c>
      <c r="P19">
        <v>11499</v>
      </c>
      <c r="Q19">
        <v>11752</v>
      </c>
      <c r="R19">
        <v>12489</v>
      </c>
      <c r="S19">
        <v>13859</v>
      </c>
      <c r="T19">
        <v>14160</v>
      </c>
      <c r="U19">
        <v>14879</v>
      </c>
      <c r="V19">
        <v>15395</v>
      </c>
      <c r="W19">
        <v>15891</v>
      </c>
      <c r="X19">
        <v>16963</v>
      </c>
      <c r="Y19">
        <v>17152</v>
      </c>
      <c r="Z19">
        <v>18553</v>
      </c>
      <c r="AA19">
        <v>18080</v>
      </c>
      <c r="AB19">
        <v>17234</v>
      </c>
      <c r="AC19">
        <v>18061</v>
      </c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</row>
    <row r="20" spans="1:213" x14ac:dyDescent="0.35">
      <c r="A20" t="s">
        <v>26</v>
      </c>
      <c r="B20" t="s">
        <v>45</v>
      </c>
      <c r="C20">
        <v>5455</v>
      </c>
      <c r="D20">
        <v>6514</v>
      </c>
      <c r="E20">
        <v>6071</v>
      </c>
      <c r="F20">
        <v>5630</v>
      </c>
      <c r="G20">
        <v>5649</v>
      </c>
      <c r="H20">
        <v>6035</v>
      </c>
      <c r="I20">
        <v>5969</v>
      </c>
      <c r="J20">
        <v>6035</v>
      </c>
      <c r="K20">
        <v>6645</v>
      </c>
      <c r="L20">
        <v>6712</v>
      </c>
      <c r="M20">
        <v>7272</v>
      </c>
      <c r="N20">
        <v>7724</v>
      </c>
      <c r="O20">
        <v>8288</v>
      </c>
      <c r="P20">
        <v>7284</v>
      </c>
      <c r="Q20">
        <v>7828</v>
      </c>
      <c r="R20">
        <v>8328</v>
      </c>
      <c r="S20">
        <v>8493</v>
      </c>
      <c r="T20">
        <v>8617</v>
      </c>
      <c r="U20">
        <v>9366</v>
      </c>
      <c r="V20">
        <v>9061</v>
      </c>
      <c r="W20">
        <v>9449</v>
      </c>
      <c r="X20">
        <v>9821</v>
      </c>
      <c r="Y20">
        <v>10263</v>
      </c>
      <c r="Z20">
        <v>10951</v>
      </c>
      <c r="AA20">
        <v>11329</v>
      </c>
      <c r="AB20">
        <v>11493</v>
      </c>
      <c r="AC20">
        <v>12196</v>
      </c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</row>
    <row r="21" spans="1:213" x14ac:dyDescent="0.35">
      <c r="A21" t="s">
        <v>26</v>
      </c>
      <c r="B21" t="s">
        <v>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17752</v>
      </c>
      <c r="T21">
        <v>24539</v>
      </c>
      <c r="U21">
        <v>27610</v>
      </c>
      <c r="V21">
        <v>26469</v>
      </c>
      <c r="W21">
        <v>29800</v>
      </c>
      <c r="X21">
        <v>31073</v>
      </c>
      <c r="Y21">
        <v>33716</v>
      </c>
      <c r="Z21">
        <v>33344</v>
      </c>
      <c r="AA21">
        <v>34626</v>
      </c>
      <c r="AB21">
        <v>33949</v>
      </c>
      <c r="AC21">
        <v>36007</v>
      </c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</row>
    <row r="22" spans="1:213" x14ac:dyDescent="0.35">
      <c r="A22" t="s">
        <v>47</v>
      </c>
      <c r="B22" t="s">
        <v>48</v>
      </c>
      <c r="C22">
        <v>73407</v>
      </c>
      <c r="D22">
        <v>79588</v>
      </c>
      <c r="E22">
        <v>81071</v>
      </c>
      <c r="F22">
        <v>72355</v>
      </c>
      <c r="G22">
        <v>75963</v>
      </c>
      <c r="H22">
        <v>72085</v>
      </c>
      <c r="I22">
        <v>76717</v>
      </c>
      <c r="J22">
        <v>84813</v>
      </c>
      <c r="K22">
        <v>87751</v>
      </c>
      <c r="L22">
        <v>91291</v>
      </c>
      <c r="M22">
        <v>97704</v>
      </c>
      <c r="N22">
        <v>97938</v>
      </c>
      <c r="O22">
        <v>97628</v>
      </c>
      <c r="P22">
        <v>99683</v>
      </c>
      <c r="Q22">
        <v>99206</v>
      </c>
      <c r="R22">
        <v>103973</v>
      </c>
      <c r="S22">
        <v>112854</v>
      </c>
      <c r="T22">
        <v>122629</v>
      </c>
      <c r="U22">
        <v>120697</v>
      </c>
      <c r="V22">
        <v>123676</v>
      </c>
      <c r="W22">
        <v>127440</v>
      </c>
      <c r="X22">
        <v>135350</v>
      </c>
      <c r="Y22">
        <v>141094</v>
      </c>
      <c r="Z22">
        <v>147257</v>
      </c>
      <c r="AA22">
        <v>151983</v>
      </c>
      <c r="AB22">
        <v>142780</v>
      </c>
      <c r="AC22">
        <v>141701</v>
      </c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</row>
    <row r="23" spans="1:213" x14ac:dyDescent="0.35">
      <c r="A23" t="s">
        <v>47</v>
      </c>
      <c r="B23" t="s">
        <v>49</v>
      </c>
      <c r="C23">
        <v>30807</v>
      </c>
      <c r="D23">
        <v>34385</v>
      </c>
      <c r="E23">
        <v>33813</v>
      </c>
      <c r="F23">
        <v>30410</v>
      </c>
      <c r="G23">
        <v>30614</v>
      </c>
      <c r="H23">
        <v>30539</v>
      </c>
      <c r="I23">
        <v>32171</v>
      </c>
      <c r="J23">
        <v>34524</v>
      </c>
      <c r="K23">
        <v>34875</v>
      </c>
      <c r="L23">
        <v>35574</v>
      </c>
      <c r="M23">
        <v>36916</v>
      </c>
      <c r="N23">
        <v>36329</v>
      </c>
      <c r="O23">
        <v>36825</v>
      </c>
      <c r="P23">
        <v>35840</v>
      </c>
      <c r="Q23">
        <v>38025</v>
      </c>
      <c r="R23">
        <v>39500</v>
      </c>
      <c r="S23">
        <v>41119</v>
      </c>
      <c r="T23">
        <v>41725</v>
      </c>
      <c r="U23">
        <v>41740</v>
      </c>
      <c r="V23">
        <v>40948</v>
      </c>
      <c r="W23">
        <v>40386</v>
      </c>
      <c r="X23">
        <v>41177</v>
      </c>
      <c r="Y23">
        <v>42072</v>
      </c>
      <c r="Z23">
        <v>42360</v>
      </c>
      <c r="AA23">
        <v>41824</v>
      </c>
      <c r="AB23">
        <v>40783</v>
      </c>
      <c r="AC23">
        <v>41756</v>
      </c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</row>
    <row r="24" spans="1:213" x14ac:dyDescent="0.35">
      <c r="A24" t="s">
        <v>47</v>
      </c>
      <c r="B24" t="s">
        <v>50</v>
      </c>
      <c r="C24">
        <v>13713</v>
      </c>
      <c r="D24">
        <v>15703</v>
      </c>
      <c r="E24">
        <v>15599</v>
      </c>
      <c r="F24">
        <v>14444</v>
      </c>
      <c r="G24">
        <v>16324</v>
      </c>
      <c r="H24">
        <v>13641</v>
      </c>
      <c r="I24">
        <v>13740</v>
      </c>
      <c r="J24">
        <v>14403</v>
      </c>
      <c r="K24">
        <v>16164</v>
      </c>
      <c r="L24">
        <v>15808</v>
      </c>
      <c r="M24">
        <v>16480</v>
      </c>
      <c r="N24">
        <v>16860</v>
      </c>
      <c r="O24">
        <v>17446</v>
      </c>
      <c r="P24">
        <v>17771</v>
      </c>
      <c r="Q24">
        <v>17913</v>
      </c>
      <c r="R24">
        <v>18153</v>
      </c>
      <c r="S24">
        <v>19205</v>
      </c>
      <c r="T24">
        <v>21737</v>
      </c>
      <c r="U24">
        <v>21290</v>
      </c>
      <c r="V24">
        <v>20059</v>
      </c>
      <c r="W24">
        <v>18498</v>
      </c>
      <c r="X24">
        <v>19012</v>
      </c>
      <c r="Y24">
        <v>22653</v>
      </c>
      <c r="Z24">
        <v>23394</v>
      </c>
      <c r="AA24">
        <v>22151</v>
      </c>
      <c r="AB24">
        <v>21164</v>
      </c>
      <c r="AC24">
        <v>22141</v>
      </c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</row>
    <row r="25" spans="1:213" x14ac:dyDescent="0.35">
      <c r="A25" t="s">
        <v>47</v>
      </c>
      <c r="B25" t="s">
        <v>51</v>
      </c>
      <c r="C25">
        <v>4547</v>
      </c>
      <c r="D25">
        <v>4902</v>
      </c>
      <c r="E25">
        <v>4842</v>
      </c>
      <c r="F25">
        <v>4861</v>
      </c>
      <c r="G25">
        <v>5316</v>
      </c>
      <c r="H25">
        <v>5330</v>
      </c>
      <c r="I25">
        <v>5133</v>
      </c>
      <c r="J25">
        <v>5238</v>
      </c>
      <c r="K25">
        <v>5181</v>
      </c>
      <c r="L25">
        <v>5322</v>
      </c>
      <c r="M25">
        <v>5266</v>
      </c>
      <c r="N25">
        <v>5466</v>
      </c>
      <c r="O25">
        <v>5618</v>
      </c>
      <c r="P25">
        <v>5523</v>
      </c>
      <c r="Q25">
        <v>5721</v>
      </c>
      <c r="R25">
        <v>5627</v>
      </c>
      <c r="S25">
        <v>5795</v>
      </c>
      <c r="T25">
        <v>5720</v>
      </c>
      <c r="U25">
        <v>5952</v>
      </c>
      <c r="V25">
        <v>5892</v>
      </c>
      <c r="W25">
        <v>6542</v>
      </c>
      <c r="X25">
        <v>6574</v>
      </c>
      <c r="Y25">
        <v>6791</v>
      </c>
      <c r="Z25">
        <v>7041</v>
      </c>
      <c r="AA25">
        <v>7824</v>
      </c>
      <c r="AB25">
        <v>7699</v>
      </c>
      <c r="AC25">
        <v>7808</v>
      </c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</row>
    <row r="26" spans="1:213" x14ac:dyDescent="0.35">
      <c r="A26" t="s">
        <v>47</v>
      </c>
      <c r="B26" t="s">
        <v>52</v>
      </c>
      <c r="C26">
        <v>26667</v>
      </c>
      <c r="D26">
        <v>28532</v>
      </c>
      <c r="E26">
        <v>28003</v>
      </c>
      <c r="F26">
        <v>27541</v>
      </c>
      <c r="G26">
        <v>29673</v>
      </c>
      <c r="H26">
        <v>30228</v>
      </c>
      <c r="I26">
        <v>30500</v>
      </c>
      <c r="J26">
        <v>32666</v>
      </c>
      <c r="K26">
        <v>34130</v>
      </c>
      <c r="L26">
        <v>35270</v>
      </c>
      <c r="M26">
        <v>38648</v>
      </c>
      <c r="N26">
        <v>38129</v>
      </c>
      <c r="O26">
        <v>40467</v>
      </c>
      <c r="P26">
        <v>40950</v>
      </c>
      <c r="Q26">
        <v>41853</v>
      </c>
      <c r="R26">
        <v>43288</v>
      </c>
      <c r="S26">
        <v>45886</v>
      </c>
      <c r="T26">
        <v>50329</v>
      </c>
      <c r="U26">
        <v>51237</v>
      </c>
      <c r="V26">
        <v>50354</v>
      </c>
      <c r="W26">
        <v>51317</v>
      </c>
      <c r="X26">
        <v>52466</v>
      </c>
      <c r="Y26">
        <v>54822</v>
      </c>
      <c r="Z26">
        <v>54575</v>
      </c>
      <c r="AA26">
        <v>54261</v>
      </c>
      <c r="AB26">
        <v>51818</v>
      </c>
      <c r="AC26">
        <v>52763</v>
      </c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</row>
    <row r="27" spans="1:213" x14ac:dyDescent="0.35">
      <c r="A27" t="s">
        <v>47</v>
      </c>
      <c r="B27" t="s">
        <v>53</v>
      </c>
      <c r="C27">
        <v>11323</v>
      </c>
      <c r="D27">
        <v>12080</v>
      </c>
      <c r="E27">
        <v>11875</v>
      </c>
      <c r="F27">
        <v>11097</v>
      </c>
      <c r="G27">
        <v>11746</v>
      </c>
      <c r="H27">
        <v>11990</v>
      </c>
      <c r="I27">
        <v>11965</v>
      </c>
      <c r="J27">
        <v>12789</v>
      </c>
      <c r="K27">
        <v>13322</v>
      </c>
      <c r="L27">
        <v>14090</v>
      </c>
      <c r="M27">
        <v>14453</v>
      </c>
      <c r="N27">
        <v>14144</v>
      </c>
      <c r="O27">
        <v>14533</v>
      </c>
      <c r="P27">
        <v>14005</v>
      </c>
      <c r="Q27">
        <v>14285</v>
      </c>
      <c r="R27">
        <v>15053</v>
      </c>
      <c r="S27">
        <v>15615</v>
      </c>
      <c r="T27">
        <v>16373</v>
      </c>
      <c r="U27">
        <v>16278</v>
      </c>
      <c r="V27">
        <v>15910</v>
      </c>
      <c r="W27">
        <v>15804</v>
      </c>
      <c r="X27">
        <v>16965</v>
      </c>
      <c r="Y27">
        <v>17153</v>
      </c>
      <c r="Z27">
        <v>17786</v>
      </c>
      <c r="AA27">
        <v>17717</v>
      </c>
      <c r="AB27">
        <v>17511</v>
      </c>
      <c r="AC27">
        <v>17369</v>
      </c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</row>
    <row r="28" spans="1:213" x14ac:dyDescent="0.35">
      <c r="A28" t="s">
        <v>47</v>
      </c>
      <c r="B28" t="s">
        <v>54</v>
      </c>
      <c r="C28">
        <v>22350</v>
      </c>
      <c r="D28">
        <v>24500</v>
      </c>
      <c r="E28">
        <v>26012</v>
      </c>
      <c r="F28">
        <v>23071</v>
      </c>
      <c r="G28">
        <v>24753</v>
      </c>
      <c r="H28">
        <v>29013</v>
      </c>
      <c r="I28">
        <v>27123</v>
      </c>
      <c r="J28">
        <v>29782</v>
      </c>
      <c r="K28">
        <v>31973</v>
      </c>
      <c r="L28">
        <v>34211</v>
      </c>
      <c r="M28">
        <v>37340</v>
      </c>
      <c r="N28">
        <v>37454</v>
      </c>
      <c r="O28">
        <v>38649</v>
      </c>
      <c r="P28">
        <v>39626</v>
      </c>
      <c r="Q28">
        <v>40548</v>
      </c>
      <c r="R28">
        <v>48149</v>
      </c>
      <c r="S28">
        <v>49121</v>
      </c>
      <c r="T28">
        <v>45428</v>
      </c>
      <c r="U28">
        <v>41812</v>
      </c>
      <c r="V28">
        <v>46480</v>
      </c>
      <c r="W28">
        <v>42305</v>
      </c>
      <c r="X28">
        <v>42814</v>
      </c>
      <c r="Y28">
        <v>47290</v>
      </c>
      <c r="Z28">
        <v>50475</v>
      </c>
      <c r="AA28">
        <v>49966</v>
      </c>
      <c r="AB28">
        <v>50552</v>
      </c>
      <c r="AC28">
        <v>55177</v>
      </c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</row>
    <row r="29" spans="1:213" x14ac:dyDescent="0.35">
      <c r="A29" t="s">
        <v>47</v>
      </c>
      <c r="B29" t="s">
        <v>55</v>
      </c>
      <c r="C29">
        <v>10492</v>
      </c>
      <c r="D29">
        <v>11068</v>
      </c>
      <c r="E29">
        <v>10923</v>
      </c>
      <c r="F29">
        <v>10150</v>
      </c>
      <c r="G29">
        <v>10765</v>
      </c>
      <c r="H29">
        <v>11224</v>
      </c>
      <c r="I29">
        <v>11264</v>
      </c>
      <c r="J29">
        <v>12082</v>
      </c>
      <c r="K29">
        <v>12456</v>
      </c>
      <c r="L29">
        <v>12714</v>
      </c>
      <c r="M29">
        <v>12719</v>
      </c>
      <c r="N29">
        <v>12988</v>
      </c>
      <c r="O29">
        <v>13729</v>
      </c>
      <c r="P29">
        <v>13488</v>
      </c>
      <c r="Q29">
        <v>14131</v>
      </c>
      <c r="R29">
        <v>14514</v>
      </c>
      <c r="S29">
        <v>14575</v>
      </c>
      <c r="T29">
        <v>15693</v>
      </c>
      <c r="U29">
        <v>15649</v>
      </c>
      <c r="V29">
        <v>15671</v>
      </c>
      <c r="W29">
        <v>16565</v>
      </c>
      <c r="X29">
        <v>17039</v>
      </c>
      <c r="Y29">
        <v>17651</v>
      </c>
      <c r="Z29">
        <v>18573</v>
      </c>
      <c r="AA29">
        <v>18461</v>
      </c>
      <c r="AB29">
        <v>18567</v>
      </c>
      <c r="AC29">
        <v>19020</v>
      </c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</row>
    <row r="30" spans="1:213" x14ac:dyDescent="0.35">
      <c r="A30" t="s">
        <v>47</v>
      </c>
      <c r="B30" t="s">
        <v>56</v>
      </c>
      <c r="C30">
        <v>10930</v>
      </c>
      <c r="D30">
        <v>12082</v>
      </c>
      <c r="E30">
        <v>11514</v>
      </c>
      <c r="F30">
        <v>11169</v>
      </c>
      <c r="G30">
        <v>12030</v>
      </c>
      <c r="H30">
        <v>12311</v>
      </c>
      <c r="I30">
        <v>12366</v>
      </c>
      <c r="J30">
        <v>13159</v>
      </c>
      <c r="K30">
        <v>13779</v>
      </c>
      <c r="L30">
        <v>14413</v>
      </c>
      <c r="M30">
        <v>15644</v>
      </c>
      <c r="N30">
        <v>15875</v>
      </c>
      <c r="O30">
        <v>16278</v>
      </c>
      <c r="P30">
        <v>15685</v>
      </c>
      <c r="Q30">
        <v>16447</v>
      </c>
      <c r="R30">
        <v>16832</v>
      </c>
      <c r="S30">
        <v>17195</v>
      </c>
      <c r="T30">
        <v>17689</v>
      </c>
      <c r="U30">
        <v>17412</v>
      </c>
      <c r="V30">
        <v>16925</v>
      </c>
      <c r="W30">
        <v>17341</v>
      </c>
      <c r="X30">
        <v>17409</v>
      </c>
      <c r="Y30">
        <v>18297</v>
      </c>
      <c r="Z30">
        <v>18012</v>
      </c>
      <c r="AA30">
        <v>17976</v>
      </c>
      <c r="AB30">
        <v>17372</v>
      </c>
      <c r="AC30">
        <v>17623</v>
      </c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</row>
    <row r="31" spans="1:213" x14ac:dyDescent="0.35">
      <c r="A31" t="s">
        <v>47</v>
      </c>
      <c r="B31" t="s">
        <v>57</v>
      </c>
      <c r="C31">
        <v>37930</v>
      </c>
      <c r="D31">
        <v>41939</v>
      </c>
      <c r="E31">
        <v>41413</v>
      </c>
      <c r="F31">
        <v>37625</v>
      </c>
      <c r="G31">
        <v>39715</v>
      </c>
      <c r="H31">
        <v>37796</v>
      </c>
      <c r="I31">
        <v>38622</v>
      </c>
      <c r="J31">
        <v>42007</v>
      </c>
      <c r="K31">
        <v>49255</v>
      </c>
      <c r="L31">
        <v>49753</v>
      </c>
      <c r="M31">
        <v>50815</v>
      </c>
      <c r="N31">
        <v>51940</v>
      </c>
      <c r="O31">
        <v>53678</v>
      </c>
      <c r="P31">
        <v>53921</v>
      </c>
      <c r="Q31">
        <v>55203</v>
      </c>
      <c r="R31">
        <v>54870</v>
      </c>
      <c r="S31">
        <v>58284</v>
      </c>
      <c r="T31">
        <v>64590</v>
      </c>
      <c r="U31">
        <v>64959</v>
      </c>
      <c r="V31">
        <v>61608</v>
      </c>
      <c r="W31">
        <v>59736</v>
      </c>
      <c r="X31">
        <v>56343</v>
      </c>
      <c r="Y31">
        <v>59298</v>
      </c>
      <c r="Z31">
        <v>63380</v>
      </c>
      <c r="AA31">
        <v>62490</v>
      </c>
      <c r="AB31">
        <v>58589</v>
      </c>
      <c r="AC31">
        <v>58082</v>
      </c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</row>
    <row r="32" spans="1:213" x14ac:dyDescent="0.35">
      <c r="A32" t="s">
        <v>47</v>
      </c>
      <c r="B32" t="s">
        <v>58</v>
      </c>
      <c r="C32">
        <v>27617</v>
      </c>
      <c r="D32">
        <v>31807</v>
      </c>
      <c r="E32">
        <v>31579</v>
      </c>
      <c r="F32">
        <v>31683</v>
      </c>
      <c r="G32">
        <v>34419</v>
      </c>
      <c r="H32">
        <v>31845</v>
      </c>
      <c r="I32">
        <v>32155</v>
      </c>
      <c r="J32">
        <v>35428</v>
      </c>
      <c r="K32">
        <v>37771</v>
      </c>
      <c r="L32">
        <v>35148</v>
      </c>
      <c r="M32">
        <v>37227</v>
      </c>
      <c r="N32">
        <v>37679</v>
      </c>
      <c r="O32">
        <v>39327</v>
      </c>
      <c r="P32">
        <v>39962</v>
      </c>
      <c r="Q32">
        <v>40453</v>
      </c>
      <c r="R32">
        <v>41040</v>
      </c>
      <c r="S32">
        <v>42895</v>
      </c>
      <c r="T32">
        <v>51094</v>
      </c>
      <c r="U32">
        <v>49173</v>
      </c>
      <c r="V32">
        <v>46893</v>
      </c>
      <c r="W32">
        <v>46111</v>
      </c>
      <c r="X32">
        <v>46190</v>
      </c>
      <c r="Y32">
        <v>49297</v>
      </c>
      <c r="Z32">
        <v>50862</v>
      </c>
      <c r="AA32">
        <v>51349</v>
      </c>
      <c r="AB32">
        <v>48653</v>
      </c>
      <c r="AC32">
        <v>50745</v>
      </c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</row>
    <row r="33" spans="1:213" x14ac:dyDescent="0.35">
      <c r="A33" t="s">
        <v>47</v>
      </c>
      <c r="B33" t="s">
        <v>59</v>
      </c>
      <c r="C33">
        <v>26706</v>
      </c>
      <c r="D33">
        <v>29112</v>
      </c>
      <c r="E33">
        <v>27152</v>
      </c>
      <c r="F33">
        <v>27433</v>
      </c>
      <c r="G33">
        <v>29310</v>
      </c>
      <c r="H33">
        <v>30144</v>
      </c>
      <c r="I33">
        <v>28970</v>
      </c>
      <c r="J33">
        <v>37709</v>
      </c>
      <c r="K33">
        <v>49787</v>
      </c>
      <c r="L33">
        <v>47471</v>
      </c>
      <c r="M33">
        <v>46627</v>
      </c>
      <c r="N33">
        <v>49878</v>
      </c>
      <c r="O33">
        <v>53416</v>
      </c>
      <c r="P33">
        <v>52901</v>
      </c>
      <c r="Q33">
        <v>50271</v>
      </c>
      <c r="R33">
        <v>49990</v>
      </c>
      <c r="S33">
        <v>55059</v>
      </c>
      <c r="T33">
        <v>62708</v>
      </c>
      <c r="U33">
        <v>64833</v>
      </c>
      <c r="V33">
        <v>59081</v>
      </c>
      <c r="W33">
        <v>60816</v>
      </c>
      <c r="X33">
        <v>64681</v>
      </c>
      <c r="Y33">
        <v>65486</v>
      </c>
      <c r="Z33">
        <v>68290</v>
      </c>
      <c r="AA33">
        <v>70162</v>
      </c>
      <c r="AB33">
        <v>64489</v>
      </c>
      <c r="AC33">
        <v>63289</v>
      </c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</row>
    <row r="34" spans="1:213" x14ac:dyDescent="0.35">
      <c r="A34" t="s">
        <v>47</v>
      </c>
      <c r="B34" t="s">
        <v>60</v>
      </c>
      <c r="C34">
        <v>8541</v>
      </c>
      <c r="D34">
        <v>9356</v>
      </c>
      <c r="E34">
        <v>9502</v>
      </c>
      <c r="F34">
        <v>9352</v>
      </c>
      <c r="G34">
        <v>9940</v>
      </c>
      <c r="H34">
        <v>10983</v>
      </c>
      <c r="I34">
        <v>9760</v>
      </c>
      <c r="J34">
        <v>9786</v>
      </c>
      <c r="K34">
        <v>11368</v>
      </c>
      <c r="L34">
        <v>11096</v>
      </c>
      <c r="M34">
        <v>10864</v>
      </c>
      <c r="N34">
        <v>11498</v>
      </c>
      <c r="O34">
        <v>13629</v>
      </c>
      <c r="P34">
        <v>13294</v>
      </c>
      <c r="Q34">
        <v>13928</v>
      </c>
      <c r="R34">
        <v>13158</v>
      </c>
      <c r="S34">
        <v>15573</v>
      </c>
      <c r="T34">
        <v>16347</v>
      </c>
      <c r="U34">
        <v>16642</v>
      </c>
      <c r="V34">
        <v>16234</v>
      </c>
      <c r="W34">
        <v>15368</v>
      </c>
      <c r="X34">
        <v>14804</v>
      </c>
      <c r="Y34">
        <v>15894</v>
      </c>
      <c r="Z34">
        <v>17562</v>
      </c>
      <c r="AA34">
        <v>15996</v>
      </c>
      <c r="AB34">
        <v>13828</v>
      </c>
      <c r="AC34">
        <v>15295</v>
      </c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</row>
    <row r="35" spans="1:213" x14ac:dyDescent="0.35">
      <c r="A35" t="s">
        <v>47</v>
      </c>
      <c r="B35" t="s">
        <v>61</v>
      </c>
      <c r="C35">
        <v>13091</v>
      </c>
      <c r="D35">
        <v>14587</v>
      </c>
      <c r="E35">
        <v>14235</v>
      </c>
      <c r="F35">
        <v>14433</v>
      </c>
      <c r="G35">
        <v>15465</v>
      </c>
      <c r="H35">
        <v>15348</v>
      </c>
      <c r="I35">
        <v>15751</v>
      </c>
      <c r="J35">
        <v>16329</v>
      </c>
      <c r="K35">
        <v>18410</v>
      </c>
      <c r="L35">
        <v>18093</v>
      </c>
      <c r="M35">
        <v>18196</v>
      </c>
      <c r="N35">
        <v>18235</v>
      </c>
      <c r="O35">
        <v>19124</v>
      </c>
      <c r="P35">
        <v>19175</v>
      </c>
      <c r="Q35">
        <v>19568</v>
      </c>
      <c r="R35">
        <v>21278</v>
      </c>
      <c r="S35">
        <v>23289</v>
      </c>
      <c r="T35">
        <v>26067</v>
      </c>
      <c r="U35">
        <v>25553</v>
      </c>
      <c r="V35">
        <v>24637</v>
      </c>
      <c r="W35">
        <v>23921</v>
      </c>
      <c r="X35">
        <v>24928</v>
      </c>
      <c r="Y35">
        <v>26181</v>
      </c>
      <c r="Z35">
        <v>28277</v>
      </c>
      <c r="AA35">
        <v>27442</v>
      </c>
      <c r="AB35">
        <v>25737</v>
      </c>
      <c r="AC35">
        <v>25928</v>
      </c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</row>
    <row r="36" spans="1:213" x14ac:dyDescent="0.35">
      <c r="A36" t="s">
        <v>47</v>
      </c>
      <c r="B36" t="s">
        <v>62</v>
      </c>
      <c r="C36">
        <v>14707</v>
      </c>
      <c r="D36">
        <v>15609</v>
      </c>
      <c r="E36">
        <v>14508</v>
      </c>
      <c r="F36">
        <v>14789</v>
      </c>
      <c r="G36">
        <v>15520</v>
      </c>
      <c r="H36">
        <v>16313</v>
      </c>
      <c r="I36">
        <v>16938</v>
      </c>
      <c r="J36">
        <v>17571</v>
      </c>
      <c r="K36">
        <v>18755</v>
      </c>
      <c r="L36">
        <v>19791</v>
      </c>
      <c r="M36">
        <v>21121</v>
      </c>
      <c r="N36">
        <v>21415</v>
      </c>
      <c r="O36">
        <v>21758</v>
      </c>
      <c r="P36">
        <v>21186</v>
      </c>
      <c r="Q36">
        <v>22919</v>
      </c>
      <c r="R36">
        <v>23535</v>
      </c>
      <c r="S36">
        <v>23333</v>
      </c>
      <c r="T36">
        <v>25413</v>
      </c>
      <c r="U36">
        <v>25065</v>
      </c>
      <c r="V36">
        <v>25591</v>
      </c>
      <c r="W36">
        <v>26661</v>
      </c>
      <c r="X36">
        <v>26802</v>
      </c>
      <c r="Y36">
        <v>27083</v>
      </c>
      <c r="Z36">
        <v>31468</v>
      </c>
      <c r="AA36">
        <v>35002</v>
      </c>
      <c r="AB36">
        <v>32539</v>
      </c>
      <c r="AC36">
        <v>31333</v>
      </c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</row>
    <row r="37" spans="1:213" x14ac:dyDescent="0.35">
      <c r="A37" t="s">
        <v>47</v>
      </c>
      <c r="B37" t="s">
        <v>63</v>
      </c>
      <c r="C37">
        <v>13199</v>
      </c>
      <c r="D37">
        <v>14909</v>
      </c>
      <c r="E37">
        <v>15276</v>
      </c>
      <c r="F37">
        <v>15947</v>
      </c>
      <c r="G37">
        <v>15272</v>
      </c>
      <c r="H37">
        <v>16511</v>
      </c>
      <c r="I37">
        <v>17223</v>
      </c>
      <c r="J37">
        <v>18103</v>
      </c>
      <c r="K37">
        <v>19008</v>
      </c>
      <c r="L37">
        <v>18811</v>
      </c>
      <c r="M37">
        <v>20059</v>
      </c>
      <c r="N37">
        <v>20004</v>
      </c>
      <c r="O37">
        <v>19702</v>
      </c>
      <c r="P37">
        <v>20022</v>
      </c>
      <c r="Q37">
        <v>21384</v>
      </c>
      <c r="R37">
        <v>22402</v>
      </c>
      <c r="S37">
        <v>21805</v>
      </c>
      <c r="T37">
        <v>26080</v>
      </c>
      <c r="U37">
        <v>26888</v>
      </c>
      <c r="V37">
        <v>23119</v>
      </c>
      <c r="W37">
        <v>20949</v>
      </c>
      <c r="X37">
        <v>20360</v>
      </c>
      <c r="Y37">
        <v>21556</v>
      </c>
      <c r="Z37">
        <v>23747</v>
      </c>
      <c r="AA37">
        <v>23079</v>
      </c>
      <c r="AB37">
        <v>22032</v>
      </c>
      <c r="AC37">
        <v>22178</v>
      </c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</row>
    <row r="38" spans="1:213" x14ac:dyDescent="0.35">
      <c r="A38" t="s">
        <v>47</v>
      </c>
      <c r="B38" t="s">
        <v>64</v>
      </c>
      <c r="C38">
        <v>23281</v>
      </c>
      <c r="D38">
        <v>24442</v>
      </c>
      <c r="E38">
        <v>22629</v>
      </c>
      <c r="F38">
        <v>23504</v>
      </c>
      <c r="G38">
        <v>25038</v>
      </c>
      <c r="H38">
        <v>24714</v>
      </c>
      <c r="I38">
        <v>26390</v>
      </c>
      <c r="J38">
        <v>26710</v>
      </c>
      <c r="K38">
        <v>29372</v>
      </c>
      <c r="L38">
        <v>28389</v>
      </c>
      <c r="M38">
        <v>30154</v>
      </c>
      <c r="N38">
        <v>30779</v>
      </c>
      <c r="O38">
        <v>33168</v>
      </c>
      <c r="P38">
        <v>36166</v>
      </c>
      <c r="Q38">
        <v>37618</v>
      </c>
      <c r="R38">
        <v>37192</v>
      </c>
      <c r="S38">
        <v>37826</v>
      </c>
      <c r="T38">
        <v>41627</v>
      </c>
      <c r="U38">
        <v>40058</v>
      </c>
      <c r="V38">
        <v>42159</v>
      </c>
      <c r="W38">
        <v>41724</v>
      </c>
      <c r="X38">
        <v>43162</v>
      </c>
      <c r="Y38">
        <v>41282</v>
      </c>
      <c r="Z38">
        <v>43217</v>
      </c>
      <c r="AA38">
        <v>43706</v>
      </c>
      <c r="AB38">
        <v>41400</v>
      </c>
      <c r="AC38">
        <v>41174</v>
      </c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</row>
    <row r="39" spans="1:213" x14ac:dyDescent="0.35">
      <c r="A39" t="s">
        <v>65</v>
      </c>
      <c r="B39" t="s">
        <v>66</v>
      </c>
      <c r="C39">
        <v>30098</v>
      </c>
      <c r="D39">
        <v>33003</v>
      </c>
      <c r="E39">
        <v>33222</v>
      </c>
      <c r="F39">
        <v>40086</v>
      </c>
      <c r="G39">
        <v>45078</v>
      </c>
      <c r="H39">
        <v>51536</v>
      </c>
      <c r="I39">
        <v>53299</v>
      </c>
      <c r="J39">
        <v>53833</v>
      </c>
      <c r="K39">
        <v>52751</v>
      </c>
      <c r="L39">
        <v>61398</v>
      </c>
      <c r="M39">
        <v>51634</v>
      </c>
      <c r="N39">
        <v>66820</v>
      </c>
      <c r="O39">
        <v>75731</v>
      </c>
      <c r="P39">
        <v>77414</v>
      </c>
      <c r="Q39">
        <v>74377</v>
      </c>
      <c r="R39">
        <v>84077</v>
      </c>
      <c r="S39">
        <v>91263</v>
      </c>
      <c r="T39">
        <v>102705</v>
      </c>
      <c r="U39">
        <v>112233</v>
      </c>
      <c r="V39">
        <v>116369</v>
      </c>
      <c r="W39">
        <v>129894</v>
      </c>
      <c r="X39">
        <v>145042</v>
      </c>
      <c r="Y39">
        <v>151683</v>
      </c>
      <c r="Z39">
        <v>163872</v>
      </c>
      <c r="AA39">
        <v>169771</v>
      </c>
      <c r="AB39">
        <v>101153</v>
      </c>
      <c r="AC39">
        <v>74304</v>
      </c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</row>
    <row r="40" spans="1:213" x14ac:dyDescent="0.35">
      <c r="A40" t="s">
        <v>65</v>
      </c>
      <c r="B40" t="s">
        <v>67</v>
      </c>
      <c r="C40">
        <v>55462</v>
      </c>
      <c r="D40">
        <v>59672</v>
      </c>
      <c r="E40">
        <v>56358</v>
      </c>
      <c r="F40">
        <v>56233</v>
      </c>
      <c r="G40">
        <v>60989</v>
      </c>
      <c r="H40">
        <v>58429</v>
      </c>
      <c r="I40">
        <v>60195</v>
      </c>
      <c r="J40">
        <v>63885</v>
      </c>
      <c r="K40">
        <v>68972</v>
      </c>
      <c r="L40">
        <v>77537</v>
      </c>
      <c r="M40">
        <v>80472</v>
      </c>
      <c r="N40">
        <v>87470</v>
      </c>
      <c r="O40">
        <v>83012</v>
      </c>
      <c r="P40">
        <v>87279</v>
      </c>
      <c r="Q40">
        <v>86622</v>
      </c>
      <c r="R40">
        <v>91714</v>
      </c>
      <c r="S40">
        <v>94829</v>
      </c>
      <c r="T40">
        <v>104587</v>
      </c>
      <c r="U40">
        <v>113060</v>
      </c>
      <c r="V40">
        <v>110473</v>
      </c>
      <c r="W40">
        <v>114998</v>
      </c>
      <c r="X40">
        <v>117658</v>
      </c>
      <c r="Y40">
        <v>123349</v>
      </c>
      <c r="Z40">
        <v>123962</v>
      </c>
      <c r="AA40">
        <v>124205</v>
      </c>
      <c r="AB40">
        <v>106003</v>
      </c>
      <c r="AC40">
        <v>103051</v>
      </c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</row>
    <row r="41" spans="1:213" x14ac:dyDescent="0.35">
      <c r="A41" t="s">
        <v>65</v>
      </c>
      <c r="B41" t="s">
        <v>68</v>
      </c>
      <c r="C41">
        <v>16797</v>
      </c>
      <c r="D41">
        <v>16369</v>
      </c>
      <c r="E41">
        <v>14485</v>
      </c>
      <c r="F41">
        <v>14423</v>
      </c>
      <c r="G41">
        <v>12334</v>
      </c>
      <c r="H41">
        <v>12061</v>
      </c>
      <c r="I41">
        <v>11850</v>
      </c>
      <c r="J41">
        <v>11378</v>
      </c>
      <c r="K41">
        <v>11897</v>
      </c>
      <c r="L41">
        <v>14776</v>
      </c>
      <c r="M41">
        <v>15357</v>
      </c>
      <c r="N41">
        <v>15696</v>
      </c>
      <c r="O41">
        <v>16544</v>
      </c>
      <c r="P41">
        <v>17130</v>
      </c>
      <c r="Q41">
        <v>17351</v>
      </c>
      <c r="R41">
        <v>17176</v>
      </c>
      <c r="S41">
        <v>16369</v>
      </c>
      <c r="T41">
        <v>16977</v>
      </c>
      <c r="U41">
        <v>17260</v>
      </c>
      <c r="V41">
        <v>17352</v>
      </c>
      <c r="W41">
        <v>16742</v>
      </c>
      <c r="X41">
        <v>17942</v>
      </c>
      <c r="Y41">
        <v>18680</v>
      </c>
      <c r="Z41">
        <v>19436</v>
      </c>
      <c r="AA41">
        <v>18652</v>
      </c>
      <c r="AB41">
        <v>19490</v>
      </c>
      <c r="AC41">
        <v>18631</v>
      </c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</row>
    <row r="42" spans="1:213" x14ac:dyDescent="0.35">
      <c r="A42" t="s">
        <v>65</v>
      </c>
      <c r="B42" t="s">
        <v>69</v>
      </c>
      <c r="C42">
        <v>17846</v>
      </c>
      <c r="D42">
        <v>19286</v>
      </c>
      <c r="E42">
        <v>20981</v>
      </c>
      <c r="F42">
        <v>17988</v>
      </c>
      <c r="G42">
        <v>16563</v>
      </c>
      <c r="H42">
        <v>17064</v>
      </c>
      <c r="I42">
        <v>16338</v>
      </c>
      <c r="J42">
        <v>16447</v>
      </c>
      <c r="K42">
        <v>17263</v>
      </c>
      <c r="L42">
        <v>19286</v>
      </c>
      <c r="M42">
        <v>19165</v>
      </c>
      <c r="N42">
        <v>19945</v>
      </c>
      <c r="O42">
        <v>20606</v>
      </c>
      <c r="P42">
        <v>22355</v>
      </c>
      <c r="Q42">
        <v>23045</v>
      </c>
      <c r="R42">
        <v>23165</v>
      </c>
      <c r="S42">
        <v>24055</v>
      </c>
      <c r="T42">
        <v>24782</v>
      </c>
      <c r="U42">
        <v>25937</v>
      </c>
      <c r="V42">
        <v>28172</v>
      </c>
      <c r="W42">
        <v>34656</v>
      </c>
      <c r="X42">
        <v>36498</v>
      </c>
      <c r="Y42">
        <v>39832</v>
      </c>
      <c r="Z42">
        <v>40729</v>
      </c>
      <c r="AA42">
        <v>41706</v>
      </c>
      <c r="AB42">
        <v>29503</v>
      </c>
      <c r="AC42">
        <v>26408</v>
      </c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</row>
    <row r="43" spans="1:213" x14ac:dyDescent="0.35">
      <c r="A43" t="s">
        <v>65</v>
      </c>
      <c r="B43" t="s">
        <v>70</v>
      </c>
      <c r="C43">
        <v>18963</v>
      </c>
      <c r="D43">
        <v>19732</v>
      </c>
      <c r="E43">
        <v>18606</v>
      </c>
      <c r="F43">
        <v>18581</v>
      </c>
      <c r="G43">
        <v>21065</v>
      </c>
      <c r="H43">
        <v>19381</v>
      </c>
      <c r="I43">
        <v>22515</v>
      </c>
      <c r="J43">
        <v>24031</v>
      </c>
      <c r="K43">
        <v>27257</v>
      </c>
      <c r="L43">
        <v>30442</v>
      </c>
      <c r="M43">
        <v>27791</v>
      </c>
      <c r="N43">
        <v>33391</v>
      </c>
      <c r="O43">
        <v>35372</v>
      </c>
      <c r="P43">
        <v>37888</v>
      </c>
      <c r="Q43">
        <v>37319</v>
      </c>
      <c r="R43">
        <v>35737</v>
      </c>
      <c r="S43">
        <v>39649</v>
      </c>
      <c r="T43">
        <v>44468</v>
      </c>
      <c r="U43">
        <v>45254</v>
      </c>
      <c r="V43">
        <v>48645</v>
      </c>
      <c r="W43">
        <v>48809</v>
      </c>
      <c r="X43">
        <v>49889</v>
      </c>
      <c r="Y43">
        <v>52357</v>
      </c>
      <c r="Z43">
        <v>52084</v>
      </c>
      <c r="AA43">
        <v>51572</v>
      </c>
      <c r="AB43">
        <v>41789</v>
      </c>
      <c r="AC43">
        <v>40557</v>
      </c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</row>
    <row r="44" spans="1:213" x14ac:dyDescent="0.35">
      <c r="A44" t="s">
        <v>65</v>
      </c>
      <c r="B44" t="s">
        <v>71</v>
      </c>
      <c r="C44">
        <v>24224</v>
      </c>
      <c r="D44">
        <v>28309</v>
      </c>
      <c r="E44">
        <v>27330</v>
      </c>
      <c r="F44">
        <v>28957</v>
      </c>
      <c r="G44">
        <v>33189</v>
      </c>
      <c r="H44">
        <v>28130</v>
      </c>
      <c r="I44">
        <v>27095</v>
      </c>
      <c r="J44">
        <v>29559</v>
      </c>
      <c r="K44">
        <v>30106</v>
      </c>
      <c r="L44">
        <v>32653</v>
      </c>
      <c r="M44">
        <v>33407</v>
      </c>
      <c r="N44">
        <v>34735</v>
      </c>
      <c r="O44">
        <v>36685</v>
      </c>
      <c r="P44">
        <v>38113</v>
      </c>
      <c r="Q44">
        <v>39247</v>
      </c>
      <c r="R44">
        <v>37470</v>
      </c>
      <c r="S44">
        <v>35776</v>
      </c>
      <c r="T44">
        <v>36889</v>
      </c>
      <c r="U44">
        <v>40431</v>
      </c>
      <c r="V44">
        <v>39993</v>
      </c>
      <c r="W44">
        <v>38303</v>
      </c>
      <c r="X44">
        <v>42793</v>
      </c>
      <c r="Y44">
        <v>42370</v>
      </c>
      <c r="Z44">
        <v>46234</v>
      </c>
      <c r="AA44">
        <v>55820</v>
      </c>
      <c r="AB44">
        <v>57228</v>
      </c>
      <c r="AC44">
        <v>57900</v>
      </c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</row>
    <row r="45" spans="1:213" x14ac:dyDescent="0.35">
      <c r="A45" t="s">
        <v>65</v>
      </c>
      <c r="B45" t="s">
        <v>72</v>
      </c>
      <c r="C45">
        <v>65407</v>
      </c>
      <c r="D45">
        <v>72428</v>
      </c>
      <c r="E45">
        <v>76794</v>
      </c>
      <c r="F45">
        <v>75467</v>
      </c>
      <c r="G45">
        <v>82146</v>
      </c>
      <c r="H45">
        <v>79051</v>
      </c>
      <c r="I45">
        <v>77965</v>
      </c>
      <c r="J45">
        <v>82148</v>
      </c>
      <c r="K45">
        <v>86649</v>
      </c>
      <c r="L45">
        <v>91272</v>
      </c>
      <c r="M45">
        <v>90452</v>
      </c>
      <c r="N45">
        <v>85412</v>
      </c>
      <c r="O45">
        <v>86851</v>
      </c>
      <c r="P45">
        <v>78560</v>
      </c>
      <c r="Q45">
        <v>86251</v>
      </c>
      <c r="R45">
        <v>94883</v>
      </c>
      <c r="S45">
        <v>86699</v>
      </c>
      <c r="T45">
        <v>90622</v>
      </c>
      <c r="U45">
        <v>93258</v>
      </c>
      <c r="V45">
        <v>90744</v>
      </c>
      <c r="W45">
        <v>89873</v>
      </c>
      <c r="X45">
        <v>91618</v>
      </c>
      <c r="Y45">
        <v>94349</v>
      </c>
      <c r="Z45">
        <v>96660</v>
      </c>
      <c r="AA45">
        <v>104614</v>
      </c>
      <c r="AB45">
        <v>104355</v>
      </c>
      <c r="AC45">
        <v>105744</v>
      </c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</row>
    <row r="46" spans="1:213" x14ac:dyDescent="0.35">
      <c r="A46" t="s">
        <v>65</v>
      </c>
      <c r="B46" t="s">
        <v>73</v>
      </c>
      <c r="C46">
        <v>102796</v>
      </c>
      <c r="D46">
        <v>100792</v>
      </c>
      <c r="E46">
        <v>99183</v>
      </c>
      <c r="F46">
        <v>99930</v>
      </c>
      <c r="G46">
        <v>101484</v>
      </c>
      <c r="H46">
        <v>103988</v>
      </c>
      <c r="I46">
        <v>106010</v>
      </c>
      <c r="J46">
        <v>108735</v>
      </c>
      <c r="K46">
        <v>115749</v>
      </c>
      <c r="L46">
        <v>119455</v>
      </c>
      <c r="M46">
        <v>128900</v>
      </c>
      <c r="N46">
        <v>130788</v>
      </c>
      <c r="O46">
        <v>130595</v>
      </c>
      <c r="P46">
        <v>129264</v>
      </c>
      <c r="Q46">
        <v>131608</v>
      </c>
      <c r="R46">
        <v>142462</v>
      </c>
      <c r="S46">
        <v>143469</v>
      </c>
      <c r="T46">
        <v>150979</v>
      </c>
      <c r="U46">
        <v>159658</v>
      </c>
      <c r="V46">
        <v>154915</v>
      </c>
      <c r="W46">
        <v>162760</v>
      </c>
      <c r="X46">
        <v>165077</v>
      </c>
      <c r="Y46">
        <v>159844</v>
      </c>
      <c r="Z46">
        <v>166454</v>
      </c>
      <c r="AA46">
        <v>160565</v>
      </c>
      <c r="AB46">
        <v>155613</v>
      </c>
      <c r="AC46">
        <v>158478</v>
      </c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</row>
    <row r="47" spans="1:213" x14ac:dyDescent="0.35">
      <c r="A47" t="s">
        <v>65</v>
      </c>
      <c r="B47" t="s">
        <v>74</v>
      </c>
      <c r="C47">
        <v>16729</v>
      </c>
      <c r="D47">
        <v>17340</v>
      </c>
      <c r="E47">
        <v>17056</v>
      </c>
      <c r="F47">
        <v>17575</v>
      </c>
      <c r="G47">
        <v>20701</v>
      </c>
      <c r="H47">
        <v>18848</v>
      </c>
      <c r="I47">
        <v>17686</v>
      </c>
      <c r="J47">
        <v>17494</v>
      </c>
      <c r="K47">
        <v>17106</v>
      </c>
      <c r="L47">
        <v>18823</v>
      </c>
      <c r="M47">
        <v>19800</v>
      </c>
      <c r="N47">
        <v>20403</v>
      </c>
      <c r="O47">
        <v>20998</v>
      </c>
      <c r="P47">
        <v>19946</v>
      </c>
      <c r="Q47">
        <v>20963</v>
      </c>
      <c r="R47">
        <v>21586</v>
      </c>
      <c r="S47">
        <v>22162</v>
      </c>
      <c r="T47">
        <v>22845</v>
      </c>
      <c r="U47">
        <v>22145</v>
      </c>
      <c r="V47">
        <v>22421</v>
      </c>
      <c r="W47">
        <v>22488</v>
      </c>
      <c r="X47">
        <v>21878</v>
      </c>
      <c r="Y47">
        <v>20630</v>
      </c>
      <c r="Z47">
        <v>20146</v>
      </c>
      <c r="AA47">
        <v>20485</v>
      </c>
      <c r="AB47">
        <v>21200</v>
      </c>
      <c r="AC47">
        <v>20978</v>
      </c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</row>
    <row r="48" spans="1:213" x14ac:dyDescent="0.35">
      <c r="A48" t="s">
        <v>65</v>
      </c>
      <c r="B48" t="s">
        <v>75</v>
      </c>
      <c r="C48">
        <v>20435</v>
      </c>
      <c r="D48">
        <v>20508</v>
      </c>
      <c r="E48">
        <v>19984</v>
      </c>
      <c r="F48">
        <v>19882</v>
      </c>
      <c r="G48">
        <v>19937</v>
      </c>
      <c r="H48">
        <v>18982</v>
      </c>
      <c r="I48">
        <v>18021</v>
      </c>
      <c r="J48">
        <v>18414</v>
      </c>
      <c r="K48">
        <v>20083</v>
      </c>
      <c r="L48">
        <v>20533</v>
      </c>
      <c r="M48">
        <v>21712</v>
      </c>
      <c r="N48">
        <v>21570</v>
      </c>
      <c r="O48">
        <v>22569</v>
      </c>
      <c r="P48">
        <v>21678</v>
      </c>
      <c r="Q48">
        <v>22716</v>
      </c>
      <c r="R48">
        <v>24440</v>
      </c>
      <c r="S48">
        <v>24390</v>
      </c>
      <c r="T48">
        <v>24080</v>
      </c>
      <c r="U48">
        <v>22042</v>
      </c>
      <c r="V48">
        <v>22666</v>
      </c>
      <c r="W48">
        <v>22114</v>
      </c>
      <c r="X48">
        <v>23452</v>
      </c>
      <c r="Y48">
        <v>22451</v>
      </c>
      <c r="Z48">
        <v>24833</v>
      </c>
      <c r="AA48">
        <v>24785</v>
      </c>
      <c r="AB48">
        <v>25352</v>
      </c>
      <c r="AC48">
        <v>25884</v>
      </c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</row>
    <row r="49" spans="1:213" x14ac:dyDescent="0.35">
      <c r="A49" t="s">
        <v>65</v>
      </c>
      <c r="B49" t="s">
        <v>76</v>
      </c>
      <c r="C49">
        <v>28406</v>
      </c>
      <c r="D49">
        <v>31206</v>
      </c>
      <c r="E49">
        <v>31371</v>
      </c>
      <c r="F49">
        <v>30609</v>
      </c>
      <c r="G49">
        <v>31359</v>
      </c>
      <c r="H49">
        <v>32000</v>
      </c>
      <c r="I49">
        <v>33202</v>
      </c>
      <c r="J49">
        <v>33459</v>
      </c>
      <c r="K49">
        <v>36755</v>
      </c>
      <c r="L49">
        <v>37843</v>
      </c>
      <c r="M49">
        <v>39703</v>
      </c>
      <c r="N49">
        <v>40708</v>
      </c>
      <c r="O49">
        <v>40352</v>
      </c>
      <c r="P49">
        <v>40392</v>
      </c>
      <c r="Q49">
        <v>40512</v>
      </c>
      <c r="R49">
        <v>41039</v>
      </c>
      <c r="S49">
        <v>41954</v>
      </c>
      <c r="T49">
        <v>39127</v>
      </c>
      <c r="U49">
        <v>39270</v>
      </c>
      <c r="V49">
        <v>39917</v>
      </c>
      <c r="W49">
        <v>38778</v>
      </c>
      <c r="X49">
        <v>40391</v>
      </c>
      <c r="Y49">
        <v>40568</v>
      </c>
      <c r="Z49">
        <v>38830</v>
      </c>
      <c r="AA49">
        <v>38070</v>
      </c>
      <c r="AB49">
        <v>38526</v>
      </c>
      <c r="AC49">
        <v>39320</v>
      </c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</row>
    <row r="50" spans="1:213" x14ac:dyDescent="0.35">
      <c r="A50" t="s">
        <v>65</v>
      </c>
      <c r="B50" t="s">
        <v>77</v>
      </c>
      <c r="C50">
        <v>17698</v>
      </c>
      <c r="D50">
        <v>19350</v>
      </c>
      <c r="E50">
        <v>19000</v>
      </c>
      <c r="F50">
        <v>19837</v>
      </c>
      <c r="G50">
        <v>20055</v>
      </c>
      <c r="H50">
        <v>17983</v>
      </c>
      <c r="I50">
        <v>18003</v>
      </c>
      <c r="J50">
        <v>19238</v>
      </c>
      <c r="K50">
        <v>22809</v>
      </c>
      <c r="L50">
        <v>23148</v>
      </c>
      <c r="M50">
        <v>23602</v>
      </c>
      <c r="N50">
        <v>24713</v>
      </c>
      <c r="O50">
        <v>25316</v>
      </c>
      <c r="P50">
        <v>24080</v>
      </c>
      <c r="Q50">
        <v>25419</v>
      </c>
      <c r="R50">
        <v>26575</v>
      </c>
      <c r="S50">
        <v>26862</v>
      </c>
      <c r="T50">
        <v>21459</v>
      </c>
      <c r="U50">
        <v>20660</v>
      </c>
      <c r="V50">
        <v>21331</v>
      </c>
      <c r="W50">
        <v>21079</v>
      </c>
      <c r="X50">
        <v>21700</v>
      </c>
      <c r="Y50">
        <v>20357</v>
      </c>
      <c r="Z50">
        <v>23036</v>
      </c>
      <c r="AA50">
        <v>22739</v>
      </c>
      <c r="AB50">
        <v>21393</v>
      </c>
      <c r="AC50">
        <v>22383</v>
      </c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</row>
    <row r="51" spans="1:213" x14ac:dyDescent="0.35">
      <c r="A51" t="s">
        <v>65</v>
      </c>
      <c r="B51" t="s">
        <v>78</v>
      </c>
      <c r="C51">
        <v>12712</v>
      </c>
      <c r="D51">
        <v>13737</v>
      </c>
      <c r="E51">
        <v>13697</v>
      </c>
      <c r="F51">
        <v>14120</v>
      </c>
      <c r="G51">
        <v>15015</v>
      </c>
      <c r="H51">
        <v>14187</v>
      </c>
      <c r="I51">
        <v>13429</v>
      </c>
      <c r="J51">
        <v>14104</v>
      </c>
      <c r="K51">
        <v>15218</v>
      </c>
      <c r="L51">
        <v>16155</v>
      </c>
      <c r="M51">
        <v>17524</v>
      </c>
      <c r="N51">
        <v>17575</v>
      </c>
      <c r="O51">
        <v>17863</v>
      </c>
      <c r="P51">
        <v>17382</v>
      </c>
      <c r="Q51">
        <v>17549</v>
      </c>
      <c r="R51">
        <v>17462</v>
      </c>
      <c r="S51">
        <v>17627</v>
      </c>
      <c r="T51">
        <v>18545</v>
      </c>
      <c r="U51">
        <v>18181</v>
      </c>
      <c r="V51">
        <v>18419</v>
      </c>
      <c r="W51">
        <v>18562</v>
      </c>
      <c r="X51">
        <v>20055</v>
      </c>
      <c r="Y51">
        <v>19435</v>
      </c>
      <c r="Z51">
        <v>20601</v>
      </c>
      <c r="AA51">
        <v>20588</v>
      </c>
      <c r="AB51">
        <v>20663</v>
      </c>
      <c r="AC51">
        <v>21165</v>
      </c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</row>
    <row r="52" spans="1:213" x14ac:dyDescent="0.35">
      <c r="A52" t="s">
        <v>65</v>
      </c>
      <c r="B52" t="s">
        <v>79</v>
      </c>
      <c r="C52">
        <v>31174</v>
      </c>
      <c r="D52">
        <v>31364</v>
      </c>
      <c r="E52">
        <v>31072</v>
      </c>
      <c r="F52">
        <v>30041</v>
      </c>
      <c r="G52">
        <v>31414</v>
      </c>
      <c r="H52">
        <v>29718</v>
      </c>
      <c r="I52">
        <v>28888</v>
      </c>
      <c r="J52">
        <v>30356</v>
      </c>
      <c r="K52">
        <v>29400</v>
      </c>
      <c r="L52">
        <v>30578</v>
      </c>
      <c r="M52">
        <v>31241</v>
      </c>
      <c r="N52">
        <v>31652</v>
      </c>
      <c r="O52">
        <v>29999</v>
      </c>
      <c r="P52">
        <v>30917</v>
      </c>
      <c r="Q52">
        <v>33068</v>
      </c>
      <c r="R52">
        <v>34504</v>
      </c>
      <c r="S52">
        <v>35303</v>
      </c>
      <c r="T52">
        <v>37172</v>
      </c>
      <c r="U52">
        <v>37222</v>
      </c>
      <c r="V52">
        <v>36153</v>
      </c>
      <c r="W52">
        <v>35653</v>
      </c>
      <c r="X52">
        <v>37436</v>
      </c>
      <c r="Y52">
        <v>30546</v>
      </c>
      <c r="Z52">
        <v>32408</v>
      </c>
      <c r="AA52">
        <v>32854</v>
      </c>
      <c r="AB52">
        <v>31345</v>
      </c>
      <c r="AC52">
        <v>32014</v>
      </c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</row>
    <row r="53" spans="1:213" x14ac:dyDescent="0.35">
      <c r="A53" t="s">
        <v>80</v>
      </c>
      <c r="B53" t="s">
        <v>81</v>
      </c>
      <c r="C53">
        <v>237940</v>
      </c>
      <c r="D53">
        <v>263939</v>
      </c>
      <c r="E53">
        <v>263476</v>
      </c>
      <c r="F53">
        <v>232308</v>
      </c>
      <c r="G53">
        <v>242242</v>
      </c>
      <c r="H53">
        <v>255306</v>
      </c>
      <c r="I53">
        <v>259904</v>
      </c>
      <c r="J53">
        <v>282080</v>
      </c>
      <c r="K53">
        <v>306132</v>
      </c>
      <c r="L53">
        <v>341762</v>
      </c>
      <c r="M53">
        <v>385117</v>
      </c>
      <c r="N53">
        <v>430870</v>
      </c>
      <c r="O53">
        <v>473486</v>
      </c>
      <c r="P53">
        <v>491614</v>
      </c>
      <c r="Q53">
        <v>458514</v>
      </c>
      <c r="R53">
        <v>481140</v>
      </c>
      <c r="S53">
        <v>487445</v>
      </c>
      <c r="T53">
        <v>470177</v>
      </c>
      <c r="U53">
        <v>494859</v>
      </c>
      <c r="V53">
        <v>509968</v>
      </c>
      <c r="W53">
        <v>532759</v>
      </c>
      <c r="X53">
        <v>565535</v>
      </c>
      <c r="Y53">
        <v>578224</v>
      </c>
      <c r="Z53">
        <v>590360</v>
      </c>
      <c r="AA53">
        <v>602900</v>
      </c>
      <c r="AB53">
        <v>561980</v>
      </c>
      <c r="AC53">
        <v>600858</v>
      </c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</row>
    <row r="54" spans="1:213" x14ac:dyDescent="0.35">
      <c r="A54" t="s">
        <v>80</v>
      </c>
      <c r="B54" t="s">
        <v>82</v>
      </c>
      <c r="C54">
        <v>86292</v>
      </c>
      <c r="D54">
        <v>93081</v>
      </c>
      <c r="E54">
        <v>98972</v>
      </c>
      <c r="F54">
        <v>87341</v>
      </c>
      <c r="G54">
        <v>86802</v>
      </c>
      <c r="H54">
        <v>87927</v>
      </c>
      <c r="I54">
        <v>88054</v>
      </c>
      <c r="J54">
        <v>100060</v>
      </c>
      <c r="K54">
        <v>128751</v>
      </c>
      <c r="L54">
        <v>145997</v>
      </c>
      <c r="M54">
        <v>145107</v>
      </c>
      <c r="N54">
        <v>161306</v>
      </c>
      <c r="O54">
        <v>181866</v>
      </c>
      <c r="P54">
        <v>191294</v>
      </c>
      <c r="Q54">
        <v>168520</v>
      </c>
      <c r="R54">
        <v>201655</v>
      </c>
      <c r="S54">
        <v>206065</v>
      </c>
      <c r="T54">
        <v>268021</v>
      </c>
      <c r="U54">
        <v>250609</v>
      </c>
      <c r="V54">
        <v>247978</v>
      </c>
      <c r="W54">
        <v>241205</v>
      </c>
      <c r="X54">
        <v>254902</v>
      </c>
      <c r="Y54">
        <v>251683</v>
      </c>
      <c r="Z54">
        <v>282186</v>
      </c>
      <c r="AA54">
        <v>278107</v>
      </c>
      <c r="AB54">
        <v>244573</v>
      </c>
      <c r="AC54">
        <v>283475</v>
      </c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</row>
    <row r="55" spans="1:213" x14ac:dyDescent="0.35">
      <c r="A55" t="s">
        <v>80</v>
      </c>
      <c r="B55" t="s">
        <v>83</v>
      </c>
      <c r="C55">
        <v>183476</v>
      </c>
      <c r="D55">
        <v>206100</v>
      </c>
      <c r="E55">
        <v>233408</v>
      </c>
      <c r="F55">
        <v>221464</v>
      </c>
      <c r="G55">
        <v>216877</v>
      </c>
      <c r="H55">
        <v>248162</v>
      </c>
      <c r="I55">
        <v>249811</v>
      </c>
      <c r="J55">
        <v>289675</v>
      </c>
      <c r="K55">
        <v>304283</v>
      </c>
      <c r="L55">
        <v>327925</v>
      </c>
      <c r="M55">
        <v>352294</v>
      </c>
      <c r="N55">
        <v>371230</v>
      </c>
      <c r="O55">
        <v>393590</v>
      </c>
      <c r="P55">
        <v>388456</v>
      </c>
      <c r="Q55">
        <v>400749</v>
      </c>
      <c r="R55">
        <v>449112</v>
      </c>
      <c r="S55">
        <v>434212</v>
      </c>
      <c r="T55">
        <v>454137</v>
      </c>
      <c r="U55">
        <v>469372</v>
      </c>
      <c r="V55">
        <v>461274</v>
      </c>
      <c r="W55">
        <v>477569</v>
      </c>
      <c r="X55">
        <v>493228</v>
      </c>
      <c r="Y55">
        <v>521844</v>
      </c>
      <c r="Z55">
        <v>521125</v>
      </c>
      <c r="AA55">
        <v>519005</v>
      </c>
      <c r="AB55">
        <v>489914</v>
      </c>
      <c r="AC55">
        <v>496956</v>
      </c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</row>
    <row r="56" spans="1:213" x14ac:dyDescent="0.35">
      <c r="A56" t="s">
        <v>80</v>
      </c>
      <c r="B56" t="s">
        <v>84</v>
      </c>
      <c r="C56">
        <v>17010</v>
      </c>
      <c r="D56">
        <v>17320</v>
      </c>
      <c r="E56">
        <v>18009</v>
      </c>
      <c r="F56">
        <v>15721</v>
      </c>
      <c r="G56">
        <v>16308</v>
      </c>
      <c r="H56">
        <v>17684</v>
      </c>
      <c r="I56">
        <v>17109</v>
      </c>
      <c r="J56">
        <v>18733</v>
      </c>
      <c r="K56">
        <v>18299</v>
      </c>
      <c r="L56">
        <v>20760</v>
      </c>
      <c r="M56">
        <v>19784</v>
      </c>
      <c r="N56">
        <v>22631</v>
      </c>
      <c r="O56">
        <v>22989</v>
      </c>
      <c r="P56">
        <v>24246</v>
      </c>
      <c r="Q56">
        <v>22475</v>
      </c>
      <c r="R56">
        <v>25681</v>
      </c>
      <c r="S56">
        <v>26229</v>
      </c>
      <c r="T56">
        <v>25625</v>
      </c>
      <c r="U56">
        <v>24237</v>
      </c>
      <c r="V56">
        <v>24820</v>
      </c>
      <c r="W56">
        <v>24316</v>
      </c>
      <c r="X56">
        <v>22610</v>
      </c>
      <c r="Y56">
        <v>26272</v>
      </c>
      <c r="Z56">
        <v>24264</v>
      </c>
      <c r="AA56">
        <v>25349</v>
      </c>
      <c r="AB56">
        <v>26437</v>
      </c>
      <c r="AC56">
        <v>24986</v>
      </c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</row>
    <row r="57" spans="1:213" x14ac:dyDescent="0.35">
      <c r="A57" t="s">
        <v>80</v>
      </c>
      <c r="B57" t="s">
        <v>85</v>
      </c>
      <c r="C57">
        <v>36687</v>
      </c>
      <c r="D57">
        <v>39323</v>
      </c>
      <c r="E57">
        <v>38843</v>
      </c>
      <c r="F57">
        <v>33778</v>
      </c>
      <c r="G57">
        <v>35556</v>
      </c>
      <c r="H57">
        <v>39938</v>
      </c>
      <c r="I57">
        <v>40289</v>
      </c>
      <c r="J57">
        <v>41501</v>
      </c>
      <c r="K57">
        <v>42310</v>
      </c>
      <c r="L57">
        <v>41288</v>
      </c>
      <c r="M57">
        <v>41269</v>
      </c>
      <c r="N57">
        <v>43007</v>
      </c>
      <c r="O57">
        <v>44159</v>
      </c>
      <c r="P57">
        <v>46793</v>
      </c>
      <c r="Q57">
        <v>45014</v>
      </c>
      <c r="R57">
        <v>50403</v>
      </c>
      <c r="S57">
        <v>54308</v>
      </c>
      <c r="T57">
        <v>55616</v>
      </c>
      <c r="U57">
        <v>53861</v>
      </c>
      <c r="V57">
        <v>54023</v>
      </c>
      <c r="W57">
        <v>53348</v>
      </c>
      <c r="X57">
        <v>50992</v>
      </c>
      <c r="Y57">
        <v>59777</v>
      </c>
      <c r="Z57">
        <v>52768</v>
      </c>
      <c r="AA57">
        <v>55829</v>
      </c>
      <c r="AB57">
        <v>58915</v>
      </c>
      <c r="AC57">
        <v>58347</v>
      </c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</row>
    <row r="58" spans="1:213" x14ac:dyDescent="0.35">
      <c r="A58" t="s">
        <v>80</v>
      </c>
      <c r="B58" t="s">
        <v>86</v>
      </c>
      <c r="C58">
        <v>7345</v>
      </c>
      <c r="D58">
        <v>8099</v>
      </c>
      <c r="E58">
        <v>8231</v>
      </c>
      <c r="F58">
        <v>8552</v>
      </c>
      <c r="G58">
        <v>9339</v>
      </c>
      <c r="H58">
        <v>9685</v>
      </c>
      <c r="I58">
        <v>11105</v>
      </c>
      <c r="J58">
        <v>11566</v>
      </c>
      <c r="K58">
        <v>12379</v>
      </c>
      <c r="L58">
        <v>11777</v>
      </c>
      <c r="M58">
        <v>11898</v>
      </c>
      <c r="N58">
        <v>11744</v>
      </c>
      <c r="O58">
        <v>12308</v>
      </c>
      <c r="P58">
        <v>12281</v>
      </c>
      <c r="Q58">
        <v>12615</v>
      </c>
      <c r="R58">
        <v>13681</v>
      </c>
      <c r="S58">
        <v>14129</v>
      </c>
      <c r="T58">
        <v>15290</v>
      </c>
      <c r="U58">
        <v>15311</v>
      </c>
      <c r="V58">
        <v>14893</v>
      </c>
      <c r="W58">
        <v>15328</v>
      </c>
      <c r="X58">
        <v>15732</v>
      </c>
      <c r="Y58">
        <v>16219</v>
      </c>
      <c r="Z58">
        <v>18072</v>
      </c>
      <c r="AA58">
        <v>18302</v>
      </c>
      <c r="AB58">
        <v>18587</v>
      </c>
      <c r="AC58">
        <v>18009</v>
      </c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</row>
    <row r="59" spans="1:213" x14ac:dyDescent="0.35">
      <c r="A59" t="s">
        <v>80</v>
      </c>
      <c r="B59" t="s">
        <v>87</v>
      </c>
      <c r="C59">
        <v>32970</v>
      </c>
      <c r="D59">
        <v>34991</v>
      </c>
      <c r="E59">
        <v>47546</v>
      </c>
      <c r="F59">
        <v>44296</v>
      </c>
      <c r="G59">
        <v>41926</v>
      </c>
      <c r="H59">
        <v>45293</v>
      </c>
      <c r="I59">
        <v>43535</v>
      </c>
      <c r="J59">
        <v>67583</v>
      </c>
      <c r="K59">
        <v>85551</v>
      </c>
      <c r="L59">
        <v>96275</v>
      </c>
      <c r="M59">
        <v>108498</v>
      </c>
      <c r="N59">
        <v>120676</v>
      </c>
      <c r="O59">
        <v>150369</v>
      </c>
      <c r="P59">
        <v>167199</v>
      </c>
      <c r="Q59">
        <v>167652</v>
      </c>
      <c r="R59">
        <v>184418</v>
      </c>
      <c r="S59">
        <v>145848</v>
      </c>
      <c r="T59">
        <v>208268</v>
      </c>
      <c r="U59">
        <v>180417</v>
      </c>
      <c r="V59">
        <v>184119</v>
      </c>
      <c r="W59">
        <v>177569</v>
      </c>
      <c r="X59">
        <v>205188</v>
      </c>
      <c r="Y59">
        <v>251950</v>
      </c>
      <c r="Z59">
        <v>273399</v>
      </c>
      <c r="AA59">
        <v>300183</v>
      </c>
      <c r="AB59">
        <v>278204</v>
      </c>
      <c r="AC59">
        <v>271868</v>
      </c>
      <c r="AH59" cm="1">
        <f t="array" ref="AH59">_xlfn.XLOOKUP("Trat",Allprovinces[province],_xlfn.XLOOKUP("1995",Allprovinces[[#Headers],[1995]:[2021]],Allprovinces[[1995]:[2021]]))</f>
        <v>17010</v>
      </c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</row>
    <row r="60" spans="1:213" x14ac:dyDescent="0.35">
      <c r="A60" t="s">
        <v>80</v>
      </c>
      <c r="B60" t="s">
        <v>88</v>
      </c>
      <c r="C60">
        <v>11178</v>
      </c>
      <c r="D60">
        <v>12768</v>
      </c>
      <c r="E60">
        <v>12539</v>
      </c>
      <c r="F60">
        <v>12585</v>
      </c>
      <c r="G60">
        <v>12859</v>
      </c>
      <c r="H60">
        <v>13549</v>
      </c>
      <c r="I60">
        <v>13619</v>
      </c>
      <c r="J60">
        <v>14120</v>
      </c>
      <c r="K60">
        <v>15763</v>
      </c>
      <c r="L60">
        <v>15488</v>
      </c>
      <c r="M60">
        <v>16349</v>
      </c>
      <c r="N60">
        <v>17748</v>
      </c>
      <c r="O60">
        <v>19445</v>
      </c>
      <c r="P60">
        <v>18928</v>
      </c>
      <c r="Q60">
        <v>19379</v>
      </c>
      <c r="R60">
        <v>18756</v>
      </c>
      <c r="S60">
        <v>20397</v>
      </c>
      <c r="T60">
        <v>21949</v>
      </c>
      <c r="U60">
        <v>22408</v>
      </c>
      <c r="V60">
        <v>22954</v>
      </c>
      <c r="W60">
        <v>24148</v>
      </c>
      <c r="X60">
        <v>24908</v>
      </c>
      <c r="Y60">
        <v>26512</v>
      </c>
      <c r="Z60">
        <v>29571</v>
      </c>
      <c r="AA60">
        <v>29547</v>
      </c>
      <c r="AB60">
        <v>28225</v>
      </c>
      <c r="AC60">
        <v>29008</v>
      </c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</row>
    <row r="61" spans="1:213" x14ac:dyDescent="0.35">
      <c r="A61" t="s">
        <v>89</v>
      </c>
      <c r="B61" t="s">
        <v>90</v>
      </c>
      <c r="C61">
        <v>47846</v>
      </c>
      <c r="D61">
        <v>49796</v>
      </c>
      <c r="E61">
        <v>50391</v>
      </c>
      <c r="F61">
        <v>47063</v>
      </c>
      <c r="G61">
        <v>55085</v>
      </c>
      <c r="H61">
        <v>55238</v>
      </c>
      <c r="I61">
        <v>64302</v>
      </c>
      <c r="J61">
        <v>76730</v>
      </c>
      <c r="K61">
        <v>81188</v>
      </c>
      <c r="L61">
        <v>85070</v>
      </c>
      <c r="M61">
        <v>87108</v>
      </c>
      <c r="N61">
        <v>89052</v>
      </c>
      <c r="O61">
        <v>89135</v>
      </c>
      <c r="P61">
        <v>87495</v>
      </c>
      <c r="Q61">
        <v>90291</v>
      </c>
      <c r="R61">
        <v>96776</v>
      </c>
      <c r="S61">
        <v>98362</v>
      </c>
      <c r="T61">
        <v>100715</v>
      </c>
      <c r="U61">
        <v>96358</v>
      </c>
      <c r="V61">
        <v>99889</v>
      </c>
      <c r="W61">
        <v>103406</v>
      </c>
      <c r="X61">
        <v>104317</v>
      </c>
      <c r="Y61">
        <v>104553</v>
      </c>
      <c r="Z61">
        <v>105298</v>
      </c>
      <c r="AA61">
        <v>102672</v>
      </c>
      <c r="AB61">
        <v>96166</v>
      </c>
      <c r="AC61">
        <v>97458</v>
      </c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</row>
    <row r="62" spans="1:213" x14ac:dyDescent="0.35">
      <c r="A62" t="s">
        <v>89</v>
      </c>
      <c r="B62" t="s">
        <v>91</v>
      </c>
      <c r="C62">
        <v>44455</v>
      </c>
      <c r="D62">
        <v>47359</v>
      </c>
      <c r="E62">
        <v>44861</v>
      </c>
      <c r="F62">
        <v>39719</v>
      </c>
      <c r="G62">
        <v>43395</v>
      </c>
      <c r="H62">
        <v>39402</v>
      </c>
      <c r="I62">
        <v>37842</v>
      </c>
      <c r="J62">
        <v>42680</v>
      </c>
      <c r="K62">
        <v>44130</v>
      </c>
      <c r="L62">
        <v>43400</v>
      </c>
      <c r="M62">
        <v>43008</v>
      </c>
      <c r="N62">
        <v>45069</v>
      </c>
      <c r="O62">
        <v>50660</v>
      </c>
      <c r="P62">
        <v>49215</v>
      </c>
      <c r="Q62">
        <v>50604</v>
      </c>
      <c r="R62">
        <v>48555</v>
      </c>
      <c r="S62">
        <v>53089</v>
      </c>
      <c r="T62">
        <v>56334</v>
      </c>
      <c r="U62">
        <v>57567</v>
      </c>
      <c r="V62">
        <v>57978</v>
      </c>
      <c r="W62">
        <v>58240</v>
      </c>
      <c r="X62">
        <v>58790</v>
      </c>
      <c r="Y62">
        <v>60455</v>
      </c>
      <c r="Z62">
        <v>68048</v>
      </c>
      <c r="AA62">
        <v>68646</v>
      </c>
      <c r="AB62">
        <v>63407</v>
      </c>
      <c r="AC62">
        <v>64492</v>
      </c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</row>
    <row r="63" spans="1:213" x14ac:dyDescent="0.35">
      <c r="A63" t="s">
        <v>89</v>
      </c>
      <c r="B63" t="s">
        <v>92</v>
      </c>
      <c r="C63">
        <v>33145</v>
      </c>
      <c r="D63">
        <v>34400</v>
      </c>
      <c r="E63">
        <v>32288</v>
      </c>
      <c r="F63">
        <v>28149</v>
      </c>
      <c r="G63">
        <v>35712</v>
      </c>
      <c r="H63">
        <v>38672</v>
      </c>
      <c r="I63">
        <v>38014</v>
      </c>
      <c r="J63">
        <v>39683</v>
      </c>
      <c r="K63">
        <v>42016</v>
      </c>
      <c r="L63">
        <v>44564</v>
      </c>
      <c r="M63">
        <v>46741</v>
      </c>
      <c r="N63">
        <v>50481</v>
      </c>
      <c r="O63">
        <v>49980</v>
      </c>
      <c r="P63">
        <v>51816</v>
      </c>
      <c r="Q63">
        <v>49247</v>
      </c>
      <c r="R63">
        <v>51631</v>
      </c>
      <c r="S63">
        <v>54780</v>
      </c>
      <c r="T63">
        <v>55158</v>
      </c>
      <c r="U63">
        <v>56381</v>
      </c>
      <c r="V63">
        <v>56406</v>
      </c>
      <c r="W63">
        <v>57397</v>
      </c>
      <c r="X63">
        <v>59522</v>
      </c>
      <c r="Y63">
        <v>65442</v>
      </c>
      <c r="Z63">
        <v>68925</v>
      </c>
      <c r="AA63">
        <v>69440</v>
      </c>
      <c r="AB63">
        <v>63441</v>
      </c>
      <c r="AC63">
        <v>64648</v>
      </c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</row>
    <row r="64" spans="1:213" x14ac:dyDescent="0.35">
      <c r="A64" t="s">
        <v>89</v>
      </c>
      <c r="B64" t="s">
        <v>93</v>
      </c>
      <c r="C64">
        <v>21032</v>
      </c>
      <c r="D64">
        <v>22718</v>
      </c>
      <c r="E64">
        <v>23512</v>
      </c>
      <c r="F64">
        <v>24000</v>
      </c>
      <c r="G64">
        <v>29649</v>
      </c>
      <c r="H64">
        <v>31399</v>
      </c>
      <c r="I64">
        <v>29706</v>
      </c>
      <c r="J64">
        <v>30882</v>
      </c>
      <c r="K64">
        <v>31722</v>
      </c>
      <c r="L64">
        <v>34672</v>
      </c>
      <c r="M64">
        <v>35267</v>
      </c>
      <c r="N64">
        <v>36084</v>
      </c>
      <c r="O64">
        <v>37223</v>
      </c>
      <c r="P64">
        <v>36190</v>
      </c>
      <c r="Q64">
        <v>35973</v>
      </c>
      <c r="R64">
        <v>38005</v>
      </c>
      <c r="S64">
        <v>37015</v>
      </c>
      <c r="T64">
        <v>41006</v>
      </c>
      <c r="U64">
        <v>39821</v>
      </c>
      <c r="V64">
        <v>38429</v>
      </c>
      <c r="W64">
        <v>38596</v>
      </c>
      <c r="X64">
        <v>39218</v>
      </c>
      <c r="Y64">
        <v>42532</v>
      </c>
      <c r="Z64">
        <v>43344</v>
      </c>
      <c r="AA64">
        <v>45410</v>
      </c>
      <c r="AB64">
        <v>42980</v>
      </c>
      <c r="AC64">
        <v>43536</v>
      </c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</row>
    <row r="65" spans="1:213" x14ac:dyDescent="0.35">
      <c r="A65" t="s">
        <v>89</v>
      </c>
      <c r="B65" t="s">
        <v>94</v>
      </c>
      <c r="C65">
        <v>29604</v>
      </c>
      <c r="D65">
        <v>34786</v>
      </c>
      <c r="E65">
        <v>33717</v>
      </c>
      <c r="F65">
        <v>33031</v>
      </c>
      <c r="G65">
        <v>34665</v>
      </c>
      <c r="H65">
        <v>35055</v>
      </c>
      <c r="I65">
        <v>34286</v>
      </c>
      <c r="J65">
        <v>35079</v>
      </c>
      <c r="K65">
        <v>39185</v>
      </c>
      <c r="L65">
        <v>39463</v>
      </c>
      <c r="M65">
        <v>38430</v>
      </c>
      <c r="N65">
        <v>39892</v>
      </c>
      <c r="O65">
        <v>41215</v>
      </c>
      <c r="P65">
        <v>42737</v>
      </c>
      <c r="Q65">
        <v>42680</v>
      </c>
      <c r="R65">
        <v>39745</v>
      </c>
      <c r="S65">
        <v>45405</v>
      </c>
      <c r="T65">
        <v>48806</v>
      </c>
      <c r="U65">
        <v>47155</v>
      </c>
      <c r="V65">
        <v>46968</v>
      </c>
      <c r="W65">
        <v>49387</v>
      </c>
      <c r="X65">
        <v>46365</v>
      </c>
      <c r="Y65">
        <v>48895</v>
      </c>
      <c r="Z65">
        <v>52610</v>
      </c>
      <c r="AA65">
        <v>51809</v>
      </c>
      <c r="AB65">
        <v>48833</v>
      </c>
      <c r="AC65">
        <v>49839</v>
      </c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</row>
    <row r="66" spans="1:213" x14ac:dyDescent="0.35">
      <c r="A66" t="s">
        <v>89</v>
      </c>
      <c r="B66" t="s">
        <v>95</v>
      </c>
      <c r="C66">
        <v>10457</v>
      </c>
      <c r="D66">
        <v>11158</v>
      </c>
      <c r="E66">
        <v>10893</v>
      </c>
      <c r="F66">
        <v>9848</v>
      </c>
      <c r="G66">
        <v>9337</v>
      </c>
      <c r="H66">
        <v>10354</v>
      </c>
      <c r="I66">
        <v>11696</v>
      </c>
      <c r="J66">
        <v>9547</v>
      </c>
      <c r="K66">
        <v>10321</v>
      </c>
      <c r="L66">
        <v>11006</v>
      </c>
      <c r="M66">
        <v>12180</v>
      </c>
      <c r="N66">
        <v>13046</v>
      </c>
      <c r="O66">
        <v>12466</v>
      </c>
      <c r="P66">
        <v>12653</v>
      </c>
      <c r="Q66">
        <v>12453</v>
      </c>
      <c r="R66">
        <v>11964</v>
      </c>
      <c r="S66">
        <v>12322</v>
      </c>
      <c r="T66">
        <v>11843</v>
      </c>
      <c r="U66">
        <v>11829</v>
      </c>
      <c r="V66">
        <v>12305</v>
      </c>
      <c r="W66">
        <v>12535</v>
      </c>
      <c r="X66">
        <v>12607</v>
      </c>
      <c r="Y66">
        <v>14833</v>
      </c>
      <c r="Z66">
        <v>15474</v>
      </c>
      <c r="AA66">
        <v>16023</v>
      </c>
      <c r="AB66">
        <v>16104</v>
      </c>
      <c r="AC66">
        <v>16860</v>
      </c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</row>
    <row r="67" spans="1:213" x14ac:dyDescent="0.35">
      <c r="A67" t="s">
        <v>96</v>
      </c>
      <c r="B67" t="s">
        <v>97</v>
      </c>
      <c r="C67">
        <v>79020</v>
      </c>
      <c r="D67">
        <v>85258</v>
      </c>
      <c r="E67">
        <v>82438</v>
      </c>
      <c r="F67">
        <v>71764</v>
      </c>
      <c r="G67">
        <v>70699</v>
      </c>
      <c r="H67">
        <v>71848</v>
      </c>
      <c r="I67">
        <v>75434</v>
      </c>
      <c r="J67">
        <v>88339</v>
      </c>
      <c r="K67">
        <v>95648</v>
      </c>
      <c r="L67">
        <v>105159</v>
      </c>
      <c r="M67">
        <v>114056</v>
      </c>
      <c r="N67">
        <v>117840</v>
      </c>
      <c r="O67">
        <v>119150</v>
      </c>
      <c r="P67">
        <v>122202</v>
      </c>
      <c r="Q67">
        <v>131264</v>
      </c>
      <c r="R67">
        <v>137151</v>
      </c>
      <c r="S67">
        <v>135372</v>
      </c>
      <c r="T67">
        <v>148857</v>
      </c>
      <c r="U67">
        <v>146764</v>
      </c>
      <c r="V67">
        <v>149657</v>
      </c>
      <c r="W67">
        <v>151436</v>
      </c>
      <c r="X67">
        <v>156814</v>
      </c>
      <c r="Y67">
        <v>155160</v>
      </c>
      <c r="Z67">
        <v>159958</v>
      </c>
      <c r="AA67">
        <v>159799</v>
      </c>
      <c r="AB67">
        <v>151412</v>
      </c>
      <c r="AC67">
        <v>153891</v>
      </c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</row>
    <row r="68" spans="1:213" x14ac:dyDescent="0.35">
      <c r="A68" t="s">
        <v>96</v>
      </c>
      <c r="B68" t="s">
        <v>98</v>
      </c>
      <c r="C68">
        <v>11491</v>
      </c>
      <c r="D68">
        <v>12189</v>
      </c>
      <c r="E68">
        <v>12113</v>
      </c>
      <c r="F68">
        <v>11742</v>
      </c>
      <c r="G68">
        <v>11368</v>
      </c>
      <c r="H68">
        <v>12509</v>
      </c>
      <c r="I68">
        <v>12369</v>
      </c>
      <c r="J68">
        <v>12760</v>
      </c>
      <c r="K68">
        <v>14275</v>
      </c>
      <c r="L68">
        <v>14635</v>
      </c>
      <c r="M68">
        <v>14947</v>
      </c>
      <c r="N68">
        <v>15263</v>
      </c>
      <c r="O68">
        <v>16211</v>
      </c>
      <c r="P68">
        <v>16156</v>
      </c>
      <c r="Q68">
        <v>16883</v>
      </c>
      <c r="R68">
        <v>16511</v>
      </c>
      <c r="S68">
        <v>17008</v>
      </c>
      <c r="T68">
        <v>18069</v>
      </c>
      <c r="U68">
        <v>17460</v>
      </c>
      <c r="V68">
        <v>16391</v>
      </c>
      <c r="W68">
        <v>15506</v>
      </c>
      <c r="X68">
        <v>15547</v>
      </c>
      <c r="Y68">
        <v>16219</v>
      </c>
      <c r="Z68">
        <v>16854</v>
      </c>
      <c r="AA68">
        <v>16717</v>
      </c>
      <c r="AB68">
        <v>15455</v>
      </c>
      <c r="AC68">
        <v>15615</v>
      </c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</row>
    <row r="69" spans="1:213" x14ac:dyDescent="0.35">
      <c r="A69" t="s">
        <v>96</v>
      </c>
      <c r="B69" t="s">
        <v>99</v>
      </c>
      <c r="C69">
        <v>15775</v>
      </c>
      <c r="D69">
        <v>16464</v>
      </c>
      <c r="E69">
        <v>16246</v>
      </c>
      <c r="F69">
        <v>15400</v>
      </c>
      <c r="G69">
        <v>15365</v>
      </c>
      <c r="H69">
        <v>15879</v>
      </c>
      <c r="I69">
        <v>16534</v>
      </c>
      <c r="J69">
        <v>16669</v>
      </c>
      <c r="K69">
        <v>16789</v>
      </c>
      <c r="L69">
        <v>16194</v>
      </c>
      <c r="M69">
        <v>16477</v>
      </c>
      <c r="N69">
        <v>15616</v>
      </c>
      <c r="O69">
        <v>16106</v>
      </c>
      <c r="P69">
        <v>16921</v>
      </c>
      <c r="Q69">
        <v>16292</v>
      </c>
      <c r="R69">
        <v>15371</v>
      </c>
      <c r="S69">
        <v>16623</v>
      </c>
      <c r="T69">
        <v>20456</v>
      </c>
      <c r="U69">
        <v>19896</v>
      </c>
      <c r="V69">
        <v>18494</v>
      </c>
      <c r="W69">
        <v>16731</v>
      </c>
      <c r="X69">
        <v>16754</v>
      </c>
      <c r="Y69">
        <v>18923</v>
      </c>
      <c r="Z69">
        <v>20402</v>
      </c>
      <c r="AA69">
        <v>20807</v>
      </c>
      <c r="AB69">
        <v>19738</v>
      </c>
      <c r="AC69">
        <v>20915</v>
      </c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</row>
    <row r="70" spans="1:213" x14ac:dyDescent="0.35">
      <c r="A70" t="s">
        <v>96</v>
      </c>
      <c r="B70" t="s">
        <v>100</v>
      </c>
      <c r="C70">
        <v>11999</v>
      </c>
      <c r="D70">
        <v>13110</v>
      </c>
      <c r="E70">
        <v>13068</v>
      </c>
      <c r="F70">
        <v>12904</v>
      </c>
      <c r="G70">
        <v>12324</v>
      </c>
      <c r="H70">
        <v>12143</v>
      </c>
      <c r="I70">
        <v>12024</v>
      </c>
      <c r="J70">
        <v>12800</v>
      </c>
      <c r="K70">
        <v>13902</v>
      </c>
      <c r="L70">
        <v>14273</v>
      </c>
      <c r="M70">
        <v>14400</v>
      </c>
      <c r="N70">
        <v>14750</v>
      </c>
      <c r="O70">
        <v>14909</v>
      </c>
      <c r="P70">
        <v>15053</v>
      </c>
      <c r="Q70">
        <v>14384</v>
      </c>
      <c r="R70">
        <v>13102</v>
      </c>
      <c r="S70">
        <v>14354</v>
      </c>
      <c r="T70">
        <v>17867</v>
      </c>
      <c r="U70">
        <v>16487</v>
      </c>
      <c r="V70">
        <v>16125</v>
      </c>
      <c r="W70">
        <v>15919</v>
      </c>
      <c r="X70">
        <v>16569</v>
      </c>
      <c r="Y70">
        <v>18036</v>
      </c>
      <c r="Z70">
        <v>19022</v>
      </c>
      <c r="AA70">
        <v>19009</v>
      </c>
      <c r="AB70">
        <v>18181</v>
      </c>
      <c r="AC70">
        <v>17768</v>
      </c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</row>
    <row r="71" spans="1:213" x14ac:dyDescent="0.35">
      <c r="A71" t="s">
        <v>96</v>
      </c>
      <c r="B71" t="s">
        <v>101</v>
      </c>
      <c r="C71">
        <v>35433</v>
      </c>
      <c r="D71">
        <v>41612</v>
      </c>
      <c r="E71">
        <v>39841</v>
      </c>
      <c r="F71">
        <v>36514</v>
      </c>
      <c r="G71">
        <v>34976</v>
      </c>
      <c r="H71">
        <v>37649</v>
      </c>
      <c r="I71">
        <v>41195</v>
      </c>
      <c r="J71">
        <v>46761</v>
      </c>
      <c r="K71">
        <v>48382</v>
      </c>
      <c r="L71">
        <v>47038</v>
      </c>
      <c r="M71">
        <v>49425</v>
      </c>
      <c r="N71">
        <v>47495</v>
      </c>
      <c r="O71">
        <v>45507</v>
      </c>
      <c r="P71">
        <v>45640</v>
      </c>
      <c r="Q71">
        <v>48884</v>
      </c>
      <c r="R71">
        <v>48323</v>
      </c>
      <c r="S71">
        <v>50838</v>
      </c>
      <c r="T71">
        <v>60409</v>
      </c>
      <c r="U71">
        <v>60200</v>
      </c>
      <c r="V71">
        <v>60247</v>
      </c>
      <c r="W71">
        <v>58638</v>
      </c>
      <c r="X71">
        <v>60131</v>
      </c>
      <c r="Y71">
        <v>64215</v>
      </c>
      <c r="Z71">
        <v>64515</v>
      </c>
      <c r="AA71">
        <v>65121</v>
      </c>
      <c r="AB71">
        <v>61104</v>
      </c>
      <c r="AC71">
        <v>62435</v>
      </c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</row>
    <row r="72" spans="1:213" x14ac:dyDescent="0.35">
      <c r="A72" t="s">
        <v>96</v>
      </c>
      <c r="B72" t="s">
        <v>102</v>
      </c>
      <c r="C72">
        <v>122451</v>
      </c>
      <c r="D72">
        <v>143357</v>
      </c>
      <c r="E72">
        <v>147680</v>
      </c>
      <c r="F72">
        <v>136495</v>
      </c>
      <c r="G72">
        <v>147719</v>
      </c>
      <c r="H72">
        <v>167697</v>
      </c>
      <c r="I72">
        <v>171803</v>
      </c>
      <c r="J72">
        <v>177937</v>
      </c>
      <c r="K72">
        <v>198840</v>
      </c>
      <c r="L72">
        <v>212358</v>
      </c>
      <c r="M72">
        <v>206343</v>
      </c>
      <c r="N72">
        <v>223435</v>
      </c>
      <c r="O72">
        <v>254340</v>
      </c>
      <c r="P72">
        <v>320867</v>
      </c>
      <c r="Q72">
        <v>277262</v>
      </c>
      <c r="R72">
        <v>314899</v>
      </c>
      <c r="S72">
        <v>269311</v>
      </c>
      <c r="T72">
        <v>272410</v>
      </c>
      <c r="U72">
        <v>327898</v>
      </c>
      <c r="V72">
        <v>285784</v>
      </c>
      <c r="W72">
        <v>320034</v>
      </c>
      <c r="X72">
        <v>309266</v>
      </c>
      <c r="Y72">
        <v>310515</v>
      </c>
      <c r="Z72">
        <v>315678</v>
      </c>
      <c r="AA72">
        <v>305805</v>
      </c>
      <c r="AB72">
        <v>298448</v>
      </c>
      <c r="AC72">
        <v>321586</v>
      </c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</row>
    <row r="73" spans="1:213" x14ac:dyDescent="0.35">
      <c r="A73" t="s">
        <v>103</v>
      </c>
      <c r="B73" t="s">
        <v>112</v>
      </c>
      <c r="C73">
        <v>1963319</v>
      </c>
      <c r="D73">
        <v>2018418</v>
      </c>
      <c r="E73">
        <v>1840461</v>
      </c>
      <c r="F73">
        <v>1665879</v>
      </c>
      <c r="G73">
        <v>1710516</v>
      </c>
      <c r="H73">
        <v>1832319</v>
      </c>
      <c r="I73">
        <v>1930392</v>
      </c>
      <c r="J73">
        <v>2004881</v>
      </c>
      <c r="K73">
        <v>2108506</v>
      </c>
      <c r="L73">
        <v>2256393</v>
      </c>
      <c r="M73">
        <v>2371938</v>
      </c>
      <c r="N73">
        <v>2441511</v>
      </c>
      <c r="O73">
        <v>2500811</v>
      </c>
      <c r="P73">
        <v>2505583</v>
      </c>
      <c r="Q73">
        <v>2469889</v>
      </c>
      <c r="R73">
        <v>2596144</v>
      </c>
      <c r="S73">
        <v>2722999</v>
      </c>
      <c r="T73">
        <v>2912579</v>
      </c>
      <c r="U73">
        <v>3098082</v>
      </c>
      <c r="V73">
        <v>3211833</v>
      </c>
      <c r="W73">
        <v>3356196</v>
      </c>
      <c r="X73">
        <v>3503634</v>
      </c>
      <c r="Y73">
        <v>3651844</v>
      </c>
      <c r="Z73">
        <v>3838230</v>
      </c>
      <c r="AA73">
        <v>3999343</v>
      </c>
      <c r="AB73">
        <v>3749759</v>
      </c>
      <c r="AC73">
        <v>3763549</v>
      </c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</row>
    <row r="74" spans="1:213" x14ac:dyDescent="0.35">
      <c r="A74" t="s">
        <v>103</v>
      </c>
      <c r="B74" t="s">
        <v>104</v>
      </c>
      <c r="C74">
        <v>242042</v>
      </c>
      <c r="D74">
        <v>250847</v>
      </c>
      <c r="E74">
        <v>246029</v>
      </c>
      <c r="F74">
        <v>267054</v>
      </c>
      <c r="G74">
        <v>292347</v>
      </c>
      <c r="H74">
        <v>307866</v>
      </c>
      <c r="I74">
        <v>328257</v>
      </c>
      <c r="J74">
        <v>355401</v>
      </c>
      <c r="K74">
        <v>358539</v>
      </c>
      <c r="L74">
        <v>373446</v>
      </c>
      <c r="M74">
        <v>382410</v>
      </c>
      <c r="N74">
        <v>408667</v>
      </c>
      <c r="O74">
        <v>512084</v>
      </c>
      <c r="P74">
        <v>503340</v>
      </c>
      <c r="Q74">
        <v>454572</v>
      </c>
      <c r="R74">
        <v>561490</v>
      </c>
      <c r="S74">
        <v>500983</v>
      </c>
      <c r="T74">
        <v>578427</v>
      </c>
      <c r="U74">
        <v>540909</v>
      </c>
      <c r="V74">
        <v>537007</v>
      </c>
      <c r="W74">
        <v>548898</v>
      </c>
      <c r="X74">
        <v>551400</v>
      </c>
      <c r="Y74">
        <v>571399</v>
      </c>
      <c r="Z74">
        <v>616458</v>
      </c>
      <c r="AA74">
        <v>603916</v>
      </c>
      <c r="AB74">
        <v>502770</v>
      </c>
      <c r="AC74">
        <v>504885</v>
      </c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</row>
    <row r="75" spans="1:213" x14ac:dyDescent="0.35">
      <c r="A75" t="s">
        <v>103</v>
      </c>
      <c r="B75" t="s">
        <v>105</v>
      </c>
      <c r="C75">
        <v>205674</v>
      </c>
      <c r="D75">
        <v>212632</v>
      </c>
      <c r="E75">
        <v>210380</v>
      </c>
      <c r="F75">
        <v>150525</v>
      </c>
      <c r="G75">
        <v>177495</v>
      </c>
      <c r="H75">
        <v>172483</v>
      </c>
      <c r="I75">
        <v>177808</v>
      </c>
      <c r="J75">
        <v>160244</v>
      </c>
      <c r="K75">
        <v>173277</v>
      </c>
      <c r="L75">
        <v>193460</v>
      </c>
      <c r="M75">
        <v>196296</v>
      </c>
      <c r="N75">
        <v>212797</v>
      </c>
      <c r="O75">
        <v>214874</v>
      </c>
      <c r="P75">
        <v>237400</v>
      </c>
      <c r="Q75">
        <v>256505</v>
      </c>
      <c r="R75">
        <v>289062</v>
      </c>
      <c r="S75">
        <v>243659</v>
      </c>
      <c r="T75">
        <v>234208</v>
      </c>
      <c r="U75">
        <v>239883</v>
      </c>
      <c r="V75">
        <v>244092</v>
      </c>
      <c r="W75">
        <v>252514</v>
      </c>
      <c r="X75">
        <v>254140</v>
      </c>
      <c r="Y75">
        <v>280179</v>
      </c>
      <c r="Z75">
        <v>291468</v>
      </c>
      <c r="AA75">
        <v>312627</v>
      </c>
      <c r="AB75">
        <v>297689</v>
      </c>
      <c r="AC75">
        <v>295322</v>
      </c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</row>
    <row r="76" spans="1:213" x14ac:dyDescent="0.35">
      <c r="A76" t="s">
        <v>103</v>
      </c>
      <c r="B76" t="s">
        <v>106</v>
      </c>
      <c r="C76">
        <v>144901</v>
      </c>
      <c r="D76">
        <v>148100</v>
      </c>
      <c r="E76">
        <v>151566</v>
      </c>
      <c r="F76">
        <v>126143</v>
      </c>
      <c r="G76">
        <v>128835</v>
      </c>
      <c r="H76">
        <v>140872</v>
      </c>
      <c r="I76">
        <v>151378</v>
      </c>
      <c r="J76">
        <v>163692</v>
      </c>
      <c r="K76">
        <v>190601</v>
      </c>
      <c r="L76">
        <v>203761</v>
      </c>
      <c r="M76">
        <v>204250</v>
      </c>
      <c r="N76">
        <v>215940</v>
      </c>
      <c r="O76">
        <v>226990</v>
      </c>
      <c r="P76">
        <v>234394</v>
      </c>
      <c r="Q76">
        <v>236152</v>
      </c>
      <c r="R76">
        <v>262941</v>
      </c>
      <c r="S76">
        <v>256516</v>
      </c>
      <c r="T76">
        <v>258471</v>
      </c>
      <c r="U76">
        <v>253848</v>
      </c>
      <c r="V76">
        <v>260854</v>
      </c>
      <c r="W76">
        <v>258426</v>
      </c>
      <c r="X76">
        <v>263544</v>
      </c>
      <c r="Y76">
        <v>277018</v>
      </c>
      <c r="Z76">
        <v>287145</v>
      </c>
      <c r="AA76">
        <v>296260</v>
      </c>
      <c r="AB76">
        <v>295924</v>
      </c>
      <c r="AC76">
        <v>299129</v>
      </c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</row>
    <row r="77" spans="1:213" x14ac:dyDescent="0.35">
      <c r="A77" t="s">
        <v>103</v>
      </c>
      <c r="B77" t="s">
        <v>107</v>
      </c>
      <c r="C77">
        <v>99841</v>
      </c>
      <c r="D77">
        <v>101557</v>
      </c>
      <c r="E77">
        <v>101440</v>
      </c>
      <c r="F77">
        <v>87505</v>
      </c>
      <c r="G77">
        <v>92440</v>
      </c>
      <c r="H77">
        <v>96873</v>
      </c>
      <c r="I77">
        <v>99887</v>
      </c>
      <c r="J77">
        <v>102260</v>
      </c>
      <c r="K77">
        <v>114586</v>
      </c>
      <c r="L77">
        <v>119619</v>
      </c>
      <c r="M77">
        <v>126024</v>
      </c>
      <c r="N77">
        <v>136008</v>
      </c>
      <c r="O77">
        <v>127397</v>
      </c>
      <c r="P77">
        <v>125746</v>
      </c>
      <c r="Q77">
        <v>123598</v>
      </c>
      <c r="R77">
        <v>136363</v>
      </c>
      <c r="S77">
        <v>149651</v>
      </c>
      <c r="T77">
        <v>172580</v>
      </c>
      <c r="U77">
        <v>188018</v>
      </c>
      <c r="V77">
        <v>198720</v>
      </c>
      <c r="W77">
        <v>210975</v>
      </c>
      <c r="X77">
        <v>217834</v>
      </c>
      <c r="Y77">
        <v>224312</v>
      </c>
      <c r="Z77">
        <v>232815</v>
      </c>
      <c r="AA77">
        <v>235750</v>
      </c>
      <c r="AB77">
        <v>229706</v>
      </c>
      <c r="AC77">
        <v>237317</v>
      </c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</row>
    <row r="78" spans="1:213" x14ac:dyDescent="0.35">
      <c r="A78" t="s">
        <v>103</v>
      </c>
      <c r="B78" t="s">
        <v>108</v>
      </c>
      <c r="C78">
        <v>73893</v>
      </c>
      <c r="D78">
        <v>74370</v>
      </c>
      <c r="E78">
        <v>72867</v>
      </c>
      <c r="F78">
        <v>75780</v>
      </c>
      <c r="G78">
        <v>73111</v>
      </c>
      <c r="H78">
        <v>75593</v>
      </c>
      <c r="I78">
        <v>79500</v>
      </c>
      <c r="J78">
        <v>84586</v>
      </c>
      <c r="K78">
        <v>90235</v>
      </c>
      <c r="L78">
        <v>97968</v>
      </c>
      <c r="M78">
        <v>110042</v>
      </c>
      <c r="N78">
        <v>120028</v>
      </c>
      <c r="O78">
        <v>127032</v>
      </c>
      <c r="P78">
        <v>130684</v>
      </c>
      <c r="Q78">
        <v>137612</v>
      </c>
      <c r="R78">
        <v>147424</v>
      </c>
      <c r="S78">
        <v>143433</v>
      </c>
      <c r="T78">
        <v>157544</v>
      </c>
      <c r="U78">
        <v>171521</v>
      </c>
      <c r="V78">
        <v>190508</v>
      </c>
      <c r="W78">
        <v>202227</v>
      </c>
      <c r="X78">
        <v>210561</v>
      </c>
      <c r="Y78">
        <v>227811</v>
      </c>
      <c r="Z78">
        <v>231039</v>
      </c>
      <c r="AA78">
        <v>245207</v>
      </c>
      <c r="AB78">
        <v>244091</v>
      </c>
      <c r="AC78">
        <v>244519</v>
      </c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</row>
    <row r="79" spans="1:213" x14ac:dyDescent="0.35"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</row>
    <row r="80" spans="1:213" x14ac:dyDescent="0.35"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</row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3B4B-662D-4FDA-8AC6-523CD4F1E30B}">
  <dimension ref="A1:AH78"/>
  <sheetViews>
    <sheetView workbookViewId="0">
      <selection activeCell="B9" sqref="B9"/>
    </sheetView>
  </sheetViews>
  <sheetFormatPr defaultRowHeight="14.5" x14ac:dyDescent="0.35"/>
  <cols>
    <col min="1" max="2" width="8.7265625" style="2"/>
    <col min="3" max="29" width="8.7265625" style="1"/>
  </cols>
  <sheetData>
    <row r="1" spans="1:29" x14ac:dyDescent="0.35">
      <c r="A1" s="2" t="s">
        <v>0</v>
      </c>
      <c r="B1" s="2" t="s">
        <v>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</row>
    <row r="2" spans="1:29" x14ac:dyDescent="0.35">
      <c r="A2" s="2" t="s">
        <v>26</v>
      </c>
      <c r="B2" s="2" t="s">
        <v>27</v>
      </c>
      <c r="C2" s="1">
        <v>62512</v>
      </c>
      <c r="D2" s="1">
        <v>67612</v>
      </c>
      <c r="E2" s="1">
        <v>72141</v>
      </c>
      <c r="F2" s="1">
        <v>63392</v>
      </c>
      <c r="G2" s="1">
        <v>69125</v>
      </c>
      <c r="H2" s="1">
        <v>66556</v>
      </c>
      <c r="I2" s="1">
        <v>66324</v>
      </c>
      <c r="J2" s="1">
        <v>70862</v>
      </c>
      <c r="K2" s="1">
        <v>76994</v>
      </c>
      <c r="L2" s="1">
        <v>80677</v>
      </c>
      <c r="M2" s="1">
        <v>80538</v>
      </c>
      <c r="N2" s="1">
        <v>92180</v>
      </c>
      <c r="O2" s="1">
        <v>98618</v>
      </c>
      <c r="P2" s="1">
        <v>105213</v>
      </c>
      <c r="Q2" s="1">
        <v>110519</v>
      </c>
      <c r="R2" s="1">
        <v>112351</v>
      </c>
      <c r="S2" s="1">
        <v>117454</v>
      </c>
      <c r="T2" s="1">
        <v>131588</v>
      </c>
      <c r="U2" s="1">
        <v>125176</v>
      </c>
      <c r="V2" s="1">
        <v>124937</v>
      </c>
      <c r="W2" s="1">
        <v>126588</v>
      </c>
      <c r="X2" s="1">
        <v>126769</v>
      </c>
      <c r="Y2" s="1">
        <v>132027</v>
      </c>
      <c r="Z2" s="1">
        <v>136849</v>
      </c>
      <c r="AA2" s="1">
        <v>135169</v>
      </c>
      <c r="AB2" s="1">
        <v>130935</v>
      </c>
      <c r="AC2" s="1">
        <v>132615</v>
      </c>
    </row>
    <row r="3" spans="1:29" x14ac:dyDescent="0.35">
      <c r="A3" s="2" t="s">
        <v>26</v>
      </c>
      <c r="B3" s="2" t="s">
        <v>28</v>
      </c>
      <c r="C3" s="1">
        <v>33770</v>
      </c>
      <c r="D3" s="1">
        <v>36544</v>
      </c>
      <c r="E3" s="1">
        <v>37888</v>
      </c>
      <c r="F3" s="1">
        <v>34050</v>
      </c>
      <c r="G3" s="1">
        <v>35366</v>
      </c>
      <c r="H3" s="1">
        <v>37396</v>
      </c>
      <c r="I3" s="1">
        <v>35697</v>
      </c>
      <c r="J3" s="1">
        <v>38158</v>
      </c>
      <c r="K3" s="1">
        <v>42612</v>
      </c>
      <c r="L3" s="1">
        <v>42670</v>
      </c>
      <c r="M3" s="1">
        <v>41759</v>
      </c>
      <c r="N3" s="1">
        <v>43765</v>
      </c>
      <c r="O3" s="1">
        <v>49222</v>
      </c>
      <c r="P3" s="1">
        <v>47406</v>
      </c>
      <c r="Q3" s="1">
        <v>52171</v>
      </c>
      <c r="R3" s="1">
        <v>53399</v>
      </c>
      <c r="S3" s="1">
        <v>60063</v>
      </c>
      <c r="T3" s="1">
        <v>61787</v>
      </c>
      <c r="U3" s="1">
        <v>63793</v>
      </c>
      <c r="V3" s="1">
        <v>65708</v>
      </c>
      <c r="W3" s="1">
        <v>67665</v>
      </c>
      <c r="X3" s="1">
        <v>68264</v>
      </c>
      <c r="Y3" s="1">
        <v>69277</v>
      </c>
      <c r="Z3" s="1">
        <v>71375</v>
      </c>
      <c r="AA3" s="1">
        <v>71726</v>
      </c>
      <c r="AB3" s="1">
        <v>68995</v>
      </c>
      <c r="AC3" s="1">
        <v>71089</v>
      </c>
    </row>
    <row r="4" spans="1:29" x14ac:dyDescent="0.35">
      <c r="A4" s="2" t="s">
        <v>26</v>
      </c>
      <c r="B4" s="2" t="s">
        <v>29</v>
      </c>
      <c r="C4" s="1">
        <v>11280</v>
      </c>
      <c r="D4" s="1">
        <v>12585</v>
      </c>
      <c r="E4" s="1">
        <v>12783</v>
      </c>
      <c r="F4" s="1">
        <v>12744</v>
      </c>
      <c r="G4" s="1">
        <v>13054</v>
      </c>
      <c r="H4" s="1">
        <v>14075</v>
      </c>
      <c r="I4" s="1">
        <v>13855</v>
      </c>
      <c r="J4" s="1">
        <v>14595</v>
      </c>
      <c r="K4" s="1">
        <v>14995</v>
      </c>
      <c r="L4" s="1">
        <v>15341</v>
      </c>
      <c r="M4" s="1">
        <v>15604</v>
      </c>
      <c r="N4" s="1">
        <v>16285</v>
      </c>
      <c r="O4" s="1">
        <v>17655</v>
      </c>
      <c r="P4" s="1">
        <v>17471</v>
      </c>
      <c r="Q4" s="1">
        <v>17919</v>
      </c>
      <c r="R4" s="1">
        <v>19442</v>
      </c>
      <c r="S4" s="1">
        <v>21808</v>
      </c>
      <c r="T4" s="1">
        <v>23951</v>
      </c>
      <c r="U4" s="1">
        <v>24554</v>
      </c>
      <c r="V4" s="1">
        <v>25944</v>
      </c>
      <c r="W4" s="1">
        <v>26696</v>
      </c>
      <c r="X4" s="1">
        <v>28228</v>
      </c>
      <c r="Y4" s="1">
        <v>30627</v>
      </c>
      <c r="Z4" s="1">
        <v>33994</v>
      </c>
      <c r="AA4" s="1">
        <v>33241</v>
      </c>
      <c r="AB4" s="1">
        <v>31437</v>
      </c>
      <c r="AC4" s="1">
        <v>32686</v>
      </c>
    </row>
    <row r="5" spans="1:29" x14ac:dyDescent="0.35">
      <c r="A5" s="2" t="s">
        <v>26</v>
      </c>
      <c r="B5" s="2" t="s">
        <v>30</v>
      </c>
      <c r="C5" s="1">
        <v>18665</v>
      </c>
      <c r="D5" s="1">
        <v>18648</v>
      </c>
      <c r="E5" s="1">
        <v>18487</v>
      </c>
      <c r="F5" s="1">
        <v>18797</v>
      </c>
      <c r="G5" s="1">
        <v>20995</v>
      </c>
      <c r="H5" s="1">
        <v>18447</v>
      </c>
      <c r="I5" s="1">
        <v>17954</v>
      </c>
      <c r="J5" s="1">
        <v>20520</v>
      </c>
      <c r="K5" s="1">
        <v>21503</v>
      </c>
      <c r="L5" s="1">
        <v>22533</v>
      </c>
      <c r="M5" s="1">
        <v>23274</v>
      </c>
      <c r="N5" s="1">
        <v>24222</v>
      </c>
      <c r="O5" s="1">
        <v>24125</v>
      </c>
      <c r="P5" s="1">
        <v>25525</v>
      </c>
      <c r="Q5" s="1">
        <v>27769</v>
      </c>
      <c r="R5" s="1">
        <v>29177</v>
      </c>
      <c r="S5" s="1">
        <v>21581</v>
      </c>
      <c r="T5" s="1">
        <v>21675</v>
      </c>
      <c r="U5" s="1">
        <v>21877</v>
      </c>
      <c r="V5" s="1">
        <v>21535</v>
      </c>
      <c r="W5" s="1">
        <v>22480</v>
      </c>
      <c r="X5" s="1">
        <v>23228</v>
      </c>
      <c r="Y5" s="1">
        <v>23734</v>
      </c>
      <c r="Z5" s="1">
        <v>23528</v>
      </c>
      <c r="AA5" s="1">
        <v>23910</v>
      </c>
      <c r="AB5" s="1">
        <v>24139</v>
      </c>
      <c r="AC5" s="1">
        <v>25096</v>
      </c>
    </row>
    <row r="6" spans="1:29" x14ac:dyDescent="0.35">
      <c r="A6" s="2" t="s">
        <v>26</v>
      </c>
      <c r="B6" s="2" t="s">
        <v>31</v>
      </c>
      <c r="C6" s="1">
        <v>6872</v>
      </c>
      <c r="D6" s="1">
        <v>7289</v>
      </c>
      <c r="E6" s="1">
        <v>7050</v>
      </c>
      <c r="F6" s="1">
        <v>6522</v>
      </c>
      <c r="G6" s="1">
        <v>6881</v>
      </c>
      <c r="H6" s="1">
        <v>7617</v>
      </c>
      <c r="I6" s="1">
        <v>7477</v>
      </c>
      <c r="J6" s="1">
        <v>7908</v>
      </c>
      <c r="K6" s="1">
        <v>8654</v>
      </c>
      <c r="L6" s="1">
        <v>8730</v>
      </c>
      <c r="M6" s="1">
        <v>8733</v>
      </c>
      <c r="N6" s="1">
        <v>9089</v>
      </c>
      <c r="O6" s="1">
        <v>9630</v>
      </c>
      <c r="P6" s="1">
        <v>9648</v>
      </c>
      <c r="Q6" s="1">
        <v>10416</v>
      </c>
      <c r="R6" s="1">
        <v>10798</v>
      </c>
      <c r="S6" s="1">
        <v>12498</v>
      </c>
      <c r="T6" s="1">
        <v>12577</v>
      </c>
      <c r="U6" s="1">
        <v>13933</v>
      </c>
      <c r="V6" s="1">
        <v>14134</v>
      </c>
      <c r="W6" s="1">
        <v>14615</v>
      </c>
      <c r="X6" s="1">
        <v>15044</v>
      </c>
      <c r="Y6" s="1">
        <v>16236</v>
      </c>
      <c r="Z6" s="1">
        <v>16530</v>
      </c>
      <c r="AA6" s="1">
        <v>17319</v>
      </c>
      <c r="AB6" s="1">
        <v>16223</v>
      </c>
      <c r="AC6" s="1">
        <v>17534</v>
      </c>
    </row>
    <row r="7" spans="1:29" x14ac:dyDescent="0.35">
      <c r="A7" s="2" t="s">
        <v>26</v>
      </c>
      <c r="B7" s="2" t="s">
        <v>32</v>
      </c>
      <c r="C7" s="1">
        <v>11537</v>
      </c>
      <c r="D7" s="1">
        <v>12986</v>
      </c>
      <c r="E7" s="1">
        <v>12161</v>
      </c>
      <c r="F7" s="1">
        <v>12824</v>
      </c>
      <c r="G7" s="1">
        <v>14513</v>
      </c>
      <c r="H7" s="1">
        <v>13802</v>
      </c>
      <c r="I7" s="1">
        <v>13617</v>
      </c>
      <c r="J7" s="1">
        <v>13867</v>
      </c>
      <c r="K7" s="1">
        <v>14948</v>
      </c>
      <c r="L7" s="1">
        <v>14622</v>
      </c>
      <c r="M7" s="1">
        <v>14669</v>
      </c>
      <c r="N7" s="1">
        <v>15238</v>
      </c>
      <c r="O7" s="1">
        <v>15649</v>
      </c>
      <c r="P7" s="1">
        <v>16106</v>
      </c>
      <c r="Q7" s="1">
        <v>17635</v>
      </c>
      <c r="R7" s="1">
        <v>18703</v>
      </c>
      <c r="S7" s="1">
        <v>19896</v>
      </c>
      <c r="T7" s="1">
        <v>22914</v>
      </c>
      <c r="U7" s="1">
        <v>22475</v>
      </c>
      <c r="V7" s="1">
        <v>22149</v>
      </c>
      <c r="W7" s="1">
        <v>22863</v>
      </c>
      <c r="X7" s="1">
        <v>24192</v>
      </c>
      <c r="Y7" s="1">
        <v>24355</v>
      </c>
      <c r="Z7" s="1">
        <v>23762</v>
      </c>
      <c r="AA7" s="1">
        <v>24269</v>
      </c>
      <c r="AB7" s="1">
        <v>25052</v>
      </c>
      <c r="AC7" s="1">
        <v>26042</v>
      </c>
    </row>
    <row r="8" spans="1:29" x14ac:dyDescent="0.35">
      <c r="A8" s="2" t="s">
        <v>26</v>
      </c>
      <c r="B8" s="2" t="s">
        <v>33</v>
      </c>
      <c r="C8" s="1">
        <v>18362</v>
      </c>
      <c r="D8" s="1">
        <v>20706</v>
      </c>
      <c r="E8" s="1">
        <v>18135</v>
      </c>
      <c r="F8" s="1">
        <v>17875</v>
      </c>
      <c r="G8" s="1">
        <v>19229</v>
      </c>
      <c r="H8" s="1">
        <v>20028</v>
      </c>
      <c r="I8" s="1">
        <v>21077</v>
      </c>
      <c r="J8" s="1">
        <v>21076</v>
      </c>
      <c r="K8" s="1">
        <v>23442</v>
      </c>
      <c r="L8" s="1">
        <v>24900</v>
      </c>
      <c r="M8" s="1">
        <v>26012</v>
      </c>
      <c r="N8" s="1">
        <v>23637</v>
      </c>
      <c r="O8" s="1">
        <v>23936</v>
      </c>
      <c r="P8" s="1">
        <v>24155</v>
      </c>
      <c r="Q8" s="1">
        <v>25822</v>
      </c>
      <c r="R8" s="1">
        <v>26236</v>
      </c>
      <c r="S8" s="1">
        <v>27347</v>
      </c>
      <c r="T8" s="1">
        <v>29775</v>
      </c>
      <c r="U8" s="1">
        <v>30313</v>
      </c>
      <c r="V8" s="1">
        <v>29899</v>
      </c>
      <c r="W8" s="1">
        <v>30798</v>
      </c>
      <c r="X8" s="1">
        <v>33157</v>
      </c>
      <c r="Y8" s="1">
        <v>33673</v>
      </c>
      <c r="Z8" s="1">
        <v>34790</v>
      </c>
      <c r="AA8" s="1">
        <v>34643</v>
      </c>
      <c r="AB8" s="1">
        <v>36375</v>
      </c>
      <c r="AC8" s="1">
        <v>37075</v>
      </c>
    </row>
    <row r="9" spans="1:29" x14ac:dyDescent="0.35">
      <c r="A9" s="2" t="s">
        <v>26</v>
      </c>
      <c r="B9" s="2" t="s">
        <v>34</v>
      </c>
      <c r="C9" s="1">
        <v>14664</v>
      </c>
      <c r="D9" s="1">
        <v>14730</v>
      </c>
      <c r="E9" s="1">
        <v>14707</v>
      </c>
      <c r="F9" s="1">
        <v>16160</v>
      </c>
      <c r="G9" s="1">
        <v>15493</v>
      </c>
      <c r="H9" s="1">
        <v>16680</v>
      </c>
      <c r="I9" s="1">
        <v>16711</v>
      </c>
      <c r="J9" s="1">
        <v>18065</v>
      </c>
      <c r="K9" s="1">
        <v>20280</v>
      </c>
      <c r="L9" s="1">
        <v>21370</v>
      </c>
      <c r="M9" s="1">
        <v>20882</v>
      </c>
      <c r="N9" s="1">
        <v>22519</v>
      </c>
      <c r="O9" s="1">
        <v>24127</v>
      </c>
      <c r="P9" s="1">
        <v>23507</v>
      </c>
      <c r="Q9" s="1">
        <v>25372</v>
      </c>
      <c r="R9" s="1">
        <v>26086</v>
      </c>
      <c r="S9" s="1">
        <v>28779</v>
      </c>
      <c r="T9" s="1">
        <v>30268</v>
      </c>
      <c r="U9" s="1">
        <v>30538</v>
      </c>
      <c r="V9" s="1">
        <v>31043</v>
      </c>
      <c r="W9" s="1">
        <v>31805</v>
      </c>
      <c r="X9" s="1">
        <v>32695</v>
      </c>
      <c r="Y9" s="1">
        <v>33251</v>
      </c>
      <c r="Z9" s="1">
        <v>37024</v>
      </c>
      <c r="AA9" s="1">
        <v>36104</v>
      </c>
      <c r="AB9" s="1">
        <v>34565</v>
      </c>
      <c r="AC9" s="1">
        <v>35750</v>
      </c>
    </row>
    <row r="10" spans="1:29" x14ac:dyDescent="0.35">
      <c r="A10" s="2" t="s">
        <v>26</v>
      </c>
      <c r="B10" s="2" t="s">
        <v>35</v>
      </c>
      <c r="C10" s="1">
        <v>90389</v>
      </c>
      <c r="D10" s="1">
        <v>99686</v>
      </c>
      <c r="E10" s="1">
        <v>99867</v>
      </c>
      <c r="F10" s="1">
        <v>86903</v>
      </c>
      <c r="G10" s="1">
        <v>91251</v>
      </c>
      <c r="H10" s="1">
        <v>94455</v>
      </c>
      <c r="I10" s="1">
        <v>96450</v>
      </c>
      <c r="J10" s="1">
        <v>102990</v>
      </c>
      <c r="K10" s="1">
        <v>114223</v>
      </c>
      <c r="L10" s="1">
        <v>116907</v>
      </c>
      <c r="M10" s="1">
        <v>121066</v>
      </c>
      <c r="N10" s="1">
        <v>125922</v>
      </c>
      <c r="O10" s="1">
        <v>132000</v>
      </c>
      <c r="P10" s="1">
        <v>123862</v>
      </c>
      <c r="Q10" s="1">
        <v>129332</v>
      </c>
      <c r="R10" s="1">
        <v>136064</v>
      </c>
      <c r="S10" s="1">
        <v>147251</v>
      </c>
      <c r="T10" s="1">
        <v>160851</v>
      </c>
      <c r="U10" s="1">
        <v>160624</v>
      </c>
      <c r="V10" s="1">
        <v>160847</v>
      </c>
      <c r="W10" s="1">
        <v>163289</v>
      </c>
      <c r="X10" s="1">
        <v>168843</v>
      </c>
      <c r="Y10" s="1">
        <v>177028</v>
      </c>
      <c r="Z10" s="1">
        <v>187488</v>
      </c>
      <c r="AA10" s="1">
        <v>185904</v>
      </c>
      <c r="AB10" s="1">
        <v>183955</v>
      </c>
      <c r="AC10" s="1">
        <v>194006</v>
      </c>
    </row>
    <row r="11" spans="1:29" x14ac:dyDescent="0.35">
      <c r="A11" s="2" t="s">
        <v>26</v>
      </c>
      <c r="B11" s="2" t="s">
        <v>36</v>
      </c>
      <c r="C11" s="1">
        <v>18978</v>
      </c>
      <c r="D11" s="1">
        <v>21052</v>
      </c>
      <c r="E11" s="1">
        <v>20257</v>
      </c>
      <c r="F11" s="1">
        <v>19116</v>
      </c>
      <c r="G11" s="1">
        <v>20570</v>
      </c>
      <c r="H11" s="1">
        <v>22456</v>
      </c>
      <c r="I11" s="1">
        <v>22918</v>
      </c>
      <c r="J11" s="1">
        <v>22122</v>
      </c>
      <c r="K11" s="1">
        <v>24567</v>
      </c>
      <c r="L11" s="1">
        <v>24175</v>
      </c>
      <c r="M11" s="1">
        <v>23496</v>
      </c>
      <c r="N11" s="1">
        <v>25449</v>
      </c>
      <c r="O11" s="1">
        <v>27100</v>
      </c>
      <c r="P11" s="1">
        <v>27663</v>
      </c>
      <c r="Q11" s="1">
        <v>30080</v>
      </c>
      <c r="R11" s="1">
        <v>30583</v>
      </c>
      <c r="S11" s="1">
        <v>33354</v>
      </c>
      <c r="T11" s="1">
        <v>34967</v>
      </c>
      <c r="U11" s="1">
        <v>35232</v>
      </c>
      <c r="V11" s="1">
        <v>34526</v>
      </c>
      <c r="W11" s="1">
        <v>35455</v>
      </c>
      <c r="X11" s="1">
        <v>37594</v>
      </c>
      <c r="Y11" s="1">
        <v>38257</v>
      </c>
      <c r="Z11" s="1">
        <v>40427</v>
      </c>
      <c r="AA11" s="1">
        <v>38915</v>
      </c>
      <c r="AB11" s="1">
        <v>38898</v>
      </c>
      <c r="AC11" s="1">
        <v>39794</v>
      </c>
    </row>
    <row r="12" spans="1:29" x14ac:dyDescent="0.35">
      <c r="A12" s="2" t="s">
        <v>26</v>
      </c>
      <c r="B12" s="2" t="s">
        <v>37</v>
      </c>
      <c r="C12" s="1">
        <v>8585</v>
      </c>
      <c r="D12" s="1">
        <v>8735</v>
      </c>
      <c r="E12" s="1">
        <v>9025</v>
      </c>
      <c r="F12" s="1">
        <v>9029</v>
      </c>
      <c r="G12" s="1">
        <v>9236</v>
      </c>
      <c r="H12" s="1">
        <v>9690</v>
      </c>
      <c r="I12" s="1">
        <v>9879</v>
      </c>
      <c r="J12" s="1">
        <v>10215</v>
      </c>
      <c r="K12" s="1">
        <v>11041</v>
      </c>
      <c r="L12" s="1">
        <v>11647</v>
      </c>
      <c r="M12" s="1">
        <v>11430</v>
      </c>
      <c r="N12" s="1">
        <v>11797</v>
      </c>
      <c r="O12" s="1">
        <v>12017</v>
      </c>
      <c r="P12" s="1">
        <v>11970</v>
      </c>
      <c r="Q12" s="1">
        <v>12549</v>
      </c>
      <c r="R12" s="1">
        <v>14126</v>
      </c>
      <c r="S12" s="1">
        <v>14773</v>
      </c>
      <c r="T12" s="1">
        <v>15456</v>
      </c>
      <c r="U12" s="1">
        <v>15806</v>
      </c>
      <c r="V12" s="1">
        <v>15675</v>
      </c>
      <c r="W12" s="1">
        <v>15405</v>
      </c>
      <c r="X12" s="1">
        <v>16139</v>
      </c>
      <c r="Y12" s="1">
        <v>16225</v>
      </c>
      <c r="Z12" s="1">
        <v>16779</v>
      </c>
      <c r="AA12" s="1">
        <v>16689</v>
      </c>
      <c r="AB12" s="1">
        <v>17636</v>
      </c>
      <c r="AC12" s="1">
        <v>18311</v>
      </c>
    </row>
    <row r="13" spans="1:29" x14ac:dyDescent="0.35">
      <c r="A13" s="2" t="s">
        <v>26</v>
      </c>
      <c r="B13" s="2" t="s">
        <v>38</v>
      </c>
      <c r="C13" s="1">
        <v>35372</v>
      </c>
      <c r="D13" s="1">
        <v>38000</v>
      </c>
      <c r="E13" s="1">
        <v>39245</v>
      </c>
      <c r="F13" s="1">
        <v>37406</v>
      </c>
      <c r="G13" s="1">
        <v>39976</v>
      </c>
      <c r="H13" s="1">
        <v>36925</v>
      </c>
      <c r="I13" s="1">
        <v>37702</v>
      </c>
      <c r="J13" s="1">
        <v>41748</v>
      </c>
      <c r="K13" s="1">
        <v>44521</v>
      </c>
      <c r="L13" s="1">
        <v>44521</v>
      </c>
      <c r="M13" s="1">
        <v>46029</v>
      </c>
      <c r="N13" s="1">
        <v>46539</v>
      </c>
      <c r="O13" s="1">
        <v>47287</v>
      </c>
      <c r="P13" s="1">
        <v>47368</v>
      </c>
      <c r="Q13" s="1">
        <v>50868</v>
      </c>
      <c r="R13" s="1">
        <v>56302</v>
      </c>
      <c r="S13" s="1">
        <v>60436</v>
      </c>
      <c r="T13" s="1">
        <v>66380</v>
      </c>
      <c r="U13" s="1">
        <v>69736</v>
      </c>
      <c r="V13" s="1">
        <v>65343</v>
      </c>
      <c r="W13" s="1">
        <v>69783</v>
      </c>
      <c r="X13" s="1">
        <v>72986</v>
      </c>
      <c r="Y13" s="1">
        <v>77070</v>
      </c>
      <c r="Z13" s="1">
        <v>76485</v>
      </c>
      <c r="AA13" s="1">
        <v>76531</v>
      </c>
      <c r="AB13" s="1">
        <v>78127</v>
      </c>
      <c r="AC13" s="1">
        <v>80456</v>
      </c>
    </row>
    <row r="14" spans="1:29" x14ac:dyDescent="0.35">
      <c r="A14" s="2" t="s">
        <v>26</v>
      </c>
      <c r="B14" s="2" t="s">
        <v>39</v>
      </c>
      <c r="C14" s="1">
        <v>19574</v>
      </c>
      <c r="D14" s="1">
        <v>21283</v>
      </c>
      <c r="E14" s="1">
        <v>22726</v>
      </c>
      <c r="F14" s="1">
        <v>21765</v>
      </c>
      <c r="G14" s="1">
        <v>22276</v>
      </c>
      <c r="H14" s="1">
        <v>23268</v>
      </c>
      <c r="I14" s="1">
        <v>24419</v>
      </c>
      <c r="J14" s="1">
        <v>25001</v>
      </c>
      <c r="K14" s="1">
        <v>27286</v>
      </c>
      <c r="L14" s="1">
        <v>27939</v>
      </c>
      <c r="M14" s="1">
        <v>28827</v>
      </c>
      <c r="N14" s="1">
        <v>30425</v>
      </c>
      <c r="O14" s="1">
        <v>32413</v>
      </c>
      <c r="P14" s="1">
        <v>31476</v>
      </c>
      <c r="Q14" s="1">
        <v>33520</v>
      </c>
      <c r="R14" s="1">
        <v>37083</v>
      </c>
      <c r="S14" s="1">
        <v>37165</v>
      </c>
      <c r="T14" s="1">
        <v>40333</v>
      </c>
      <c r="U14" s="1">
        <v>40130</v>
      </c>
      <c r="V14" s="1">
        <v>40204</v>
      </c>
      <c r="W14" s="1">
        <v>40873</v>
      </c>
      <c r="X14" s="1">
        <v>42244</v>
      </c>
      <c r="Y14" s="1">
        <v>43890</v>
      </c>
      <c r="Z14" s="1">
        <v>45204</v>
      </c>
      <c r="AA14" s="1">
        <v>44188</v>
      </c>
      <c r="AB14" s="1">
        <v>45580</v>
      </c>
      <c r="AC14" s="1">
        <v>46628</v>
      </c>
    </row>
    <row r="15" spans="1:29" x14ac:dyDescent="0.35">
      <c r="A15" s="2" t="s">
        <v>26</v>
      </c>
      <c r="B15" s="2" t="s">
        <v>40</v>
      </c>
      <c r="C15" s="1">
        <v>27771</v>
      </c>
      <c r="D15" s="1">
        <v>28942</v>
      </c>
      <c r="E15" s="1">
        <v>28263</v>
      </c>
      <c r="F15" s="1">
        <v>27805</v>
      </c>
      <c r="G15" s="1">
        <v>30582</v>
      </c>
      <c r="H15" s="1">
        <v>27018</v>
      </c>
      <c r="I15" s="1">
        <v>27044</v>
      </c>
      <c r="J15" s="1">
        <v>31121</v>
      </c>
      <c r="K15" s="1">
        <v>31795</v>
      </c>
      <c r="L15" s="1">
        <v>33229</v>
      </c>
      <c r="M15" s="1">
        <v>33714</v>
      </c>
      <c r="N15" s="1">
        <v>35815</v>
      </c>
      <c r="O15" s="1">
        <v>36939</v>
      </c>
      <c r="P15" s="1">
        <v>37014</v>
      </c>
      <c r="Q15" s="1">
        <v>39310</v>
      </c>
      <c r="R15" s="1">
        <v>42755</v>
      </c>
      <c r="S15" s="1">
        <v>45420</v>
      </c>
      <c r="T15" s="1">
        <v>44970</v>
      </c>
      <c r="U15" s="1">
        <v>47499</v>
      </c>
      <c r="V15" s="1">
        <v>47208</v>
      </c>
      <c r="W15" s="1">
        <v>49888</v>
      </c>
      <c r="X15" s="1">
        <v>50587</v>
      </c>
      <c r="Y15" s="1">
        <v>51562</v>
      </c>
      <c r="Z15" s="1">
        <v>52118</v>
      </c>
      <c r="AA15" s="1">
        <v>52602</v>
      </c>
      <c r="AB15" s="1">
        <v>54066</v>
      </c>
      <c r="AC15" s="1">
        <v>56151</v>
      </c>
    </row>
    <row r="16" spans="1:29" x14ac:dyDescent="0.35">
      <c r="A16" s="2" t="s">
        <v>26</v>
      </c>
      <c r="B16" s="2" t="s">
        <v>41</v>
      </c>
      <c r="C16" s="1">
        <v>20966</v>
      </c>
      <c r="D16" s="1">
        <v>22417</v>
      </c>
      <c r="E16" s="1">
        <v>22521</v>
      </c>
      <c r="F16" s="1">
        <v>21978</v>
      </c>
      <c r="G16" s="1">
        <v>22885</v>
      </c>
      <c r="H16" s="1">
        <v>23927</v>
      </c>
      <c r="I16" s="1">
        <v>24284</v>
      </c>
      <c r="J16" s="1">
        <v>25185</v>
      </c>
      <c r="K16" s="1">
        <v>26913</v>
      </c>
      <c r="L16" s="1">
        <v>27799</v>
      </c>
      <c r="M16" s="1">
        <v>28473</v>
      </c>
      <c r="N16" s="1">
        <v>30090</v>
      </c>
      <c r="O16" s="1">
        <v>32333</v>
      </c>
      <c r="P16" s="1">
        <v>30940</v>
      </c>
      <c r="Q16" s="1">
        <v>33398</v>
      </c>
      <c r="R16" s="1">
        <v>35823</v>
      </c>
      <c r="S16" s="1">
        <v>38224</v>
      </c>
      <c r="T16" s="1">
        <v>40036</v>
      </c>
      <c r="U16" s="1">
        <v>41040</v>
      </c>
      <c r="V16" s="1">
        <v>40482</v>
      </c>
      <c r="W16" s="1">
        <v>42506</v>
      </c>
      <c r="X16" s="1">
        <v>43551</v>
      </c>
      <c r="Y16" s="1">
        <v>44598</v>
      </c>
      <c r="Z16" s="1">
        <v>47496</v>
      </c>
      <c r="AA16" s="1">
        <v>47208</v>
      </c>
      <c r="AB16" s="1">
        <v>49255</v>
      </c>
      <c r="AC16" s="1">
        <v>49620</v>
      </c>
    </row>
    <row r="17" spans="1:29" x14ac:dyDescent="0.35">
      <c r="A17" s="2" t="s">
        <v>26</v>
      </c>
      <c r="B17" s="2" t="s">
        <v>42</v>
      </c>
      <c r="C17" s="1">
        <v>14752</v>
      </c>
      <c r="D17" s="1">
        <v>15947</v>
      </c>
      <c r="E17" s="1">
        <v>16284</v>
      </c>
      <c r="F17" s="1">
        <v>16377</v>
      </c>
      <c r="G17" s="1">
        <v>17444</v>
      </c>
      <c r="H17" s="1">
        <v>17384</v>
      </c>
      <c r="I17" s="1">
        <v>18146</v>
      </c>
      <c r="J17" s="1">
        <v>17876</v>
      </c>
      <c r="K17" s="1">
        <v>19416</v>
      </c>
      <c r="L17" s="1">
        <v>20153</v>
      </c>
      <c r="M17" s="1">
        <v>21119</v>
      </c>
      <c r="N17" s="1">
        <v>21819</v>
      </c>
      <c r="O17" s="1">
        <v>22768</v>
      </c>
      <c r="P17" s="1">
        <v>22913</v>
      </c>
      <c r="Q17" s="1">
        <v>24459</v>
      </c>
      <c r="R17" s="1">
        <v>26445</v>
      </c>
      <c r="S17" s="1">
        <v>28156</v>
      </c>
      <c r="T17" s="1">
        <v>29127</v>
      </c>
      <c r="U17" s="1">
        <v>29095</v>
      </c>
      <c r="V17" s="1">
        <v>29537</v>
      </c>
      <c r="W17" s="1">
        <v>30419</v>
      </c>
      <c r="X17" s="1">
        <v>32111</v>
      </c>
      <c r="Y17" s="1">
        <v>33512</v>
      </c>
      <c r="Z17" s="1">
        <v>34391</v>
      </c>
      <c r="AA17" s="1">
        <v>33797</v>
      </c>
      <c r="AB17" s="1">
        <v>35199</v>
      </c>
      <c r="AC17" s="1">
        <v>36935</v>
      </c>
    </row>
    <row r="18" spans="1:29" x14ac:dyDescent="0.35">
      <c r="A18" s="2" t="s">
        <v>26</v>
      </c>
      <c r="B18" s="2" t="s">
        <v>43</v>
      </c>
      <c r="C18" s="1">
        <v>19622</v>
      </c>
      <c r="D18" s="1">
        <v>20495</v>
      </c>
      <c r="E18" s="1">
        <v>20709</v>
      </c>
      <c r="F18" s="1">
        <v>19423</v>
      </c>
      <c r="G18" s="1">
        <v>20152</v>
      </c>
      <c r="H18" s="1">
        <v>20894</v>
      </c>
      <c r="I18" s="1">
        <v>22137</v>
      </c>
      <c r="J18" s="1">
        <v>22076</v>
      </c>
      <c r="K18" s="1">
        <v>24612</v>
      </c>
      <c r="L18" s="1">
        <v>25224</v>
      </c>
      <c r="M18" s="1">
        <v>26453</v>
      </c>
      <c r="N18" s="1">
        <v>28034</v>
      </c>
      <c r="O18" s="1">
        <v>29124</v>
      </c>
      <c r="P18" s="1">
        <v>28567</v>
      </c>
      <c r="Q18" s="1">
        <v>29919</v>
      </c>
      <c r="R18" s="1">
        <v>33354</v>
      </c>
      <c r="S18" s="1">
        <v>35325</v>
      </c>
      <c r="T18" s="1">
        <v>37577</v>
      </c>
      <c r="U18" s="1">
        <v>37189</v>
      </c>
      <c r="V18" s="1">
        <v>36857</v>
      </c>
      <c r="W18" s="1">
        <v>38092</v>
      </c>
      <c r="X18" s="1">
        <v>39594</v>
      </c>
      <c r="Y18" s="1">
        <v>40842</v>
      </c>
      <c r="Z18" s="1">
        <v>41807</v>
      </c>
      <c r="AA18" s="1">
        <v>40061</v>
      </c>
      <c r="AB18" s="1">
        <v>41947</v>
      </c>
      <c r="AC18" s="1">
        <v>42648</v>
      </c>
    </row>
    <row r="19" spans="1:29" x14ac:dyDescent="0.35">
      <c r="A19" s="2" t="s">
        <v>26</v>
      </c>
      <c r="B19" s="2" t="s">
        <v>44</v>
      </c>
      <c r="C19" s="1">
        <v>7434</v>
      </c>
      <c r="D19" s="1">
        <v>7923</v>
      </c>
      <c r="E19" s="1">
        <v>7998</v>
      </c>
      <c r="F19" s="1">
        <v>7418</v>
      </c>
      <c r="G19" s="1">
        <v>7300</v>
      </c>
      <c r="H19" s="1">
        <v>7471</v>
      </c>
      <c r="I19" s="1">
        <v>7667</v>
      </c>
      <c r="J19" s="1">
        <v>7731</v>
      </c>
      <c r="K19" s="1">
        <v>8938</v>
      </c>
      <c r="L19" s="1">
        <v>9562</v>
      </c>
      <c r="M19" s="1">
        <v>10003</v>
      </c>
      <c r="N19" s="1">
        <v>11040</v>
      </c>
      <c r="O19" s="1">
        <v>12140</v>
      </c>
      <c r="P19" s="1">
        <v>11499</v>
      </c>
      <c r="Q19" s="1">
        <v>11752</v>
      </c>
      <c r="R19" s="1">
        <v>12489</v>
      </c>
      <c r="S19" s="1">
        <v>13859</v>
      </c>
      <c r="T19" s="1">
        <v>14160</v>
      </c>
      <c r="U19" s="1">
        <v>14879</v>
      </c>
      <c r="V19" s="1">
        <v>15395</v>
      </c>
      <c r="W19" s="1">
        <v>15891</v>
      </c>
      <c r="X19" s="1">
        <v>16963</v>
      </c>
      <c r="Y19" s="1">
        <v>17152</v>
      </c>
      <c r="Z19" s="1">
        <v>18553</v>
      </c>
      <c r="AA19" s="1">
        <v>18080</v>
      </c>
      <c r="AB19" s="1">
        <v>17234</v>
      </c>
      <c r="AC19" s="1">
        <v>18061</v>
      </c>
    </row>
    <row r="20" spans="1:29" x14ac:dyDescent="0.35">
      <c r="A20" s="2" t="s">
        <v>26</v>
      </c>
      <c r="B20" s="2" t="s">
        <v>45</v>
      </c>
      <c r="C20" s="1">
        <v>5455</v>
      </c>
      <c r="D20" s="1">
        <v>6514</v>
      </c>
      <c r="E20" s="1">
        <v>6071</v>
      </c>
      <c r="F20" s="1">
        <v>5630</v>
      </c>
      <c r="G20" s="1">
        <v>5649</v>
      </c>
      <c r="H20" s="1">
        <v>6035</v>
      </c>
      <c r="I20" s="1">
        <v>5969</v>
      </c>
      <c r="J20" s="1">
        <v>6035</v>
      </c>
      <c r="K20" s="1">
        <v>6645</v>
      </c>
      <c r="L20" s="1">
        <v>6712</v>
      </c>
      <c r="M20" s="1">
        <v>7272</v>
      </c>
      <c r="N20" s="1">
        <v>7724</v>
      </c>
      <c r="O20" s="1">
        <v>8288</v>
      </c>
      <c r="P20" s="1">
        <v>7284</v>
      </c>
      <c r="Q20" s="1">
        <v>7828</v>
      </c>
      <c r="R20" s="1">
        <v>8328</v>
      </c>
      <c r="S20" s="1">
        <v>8493</v>
      </c>
      <c r="T20" s="1">
        <v>8617</v>
      </c>
      <c r="U20" s="1">
        <v>9366</v>
      </c>
      <c r="V20" s="1">
        <v>9061</v>
      </c>
      <c r="W20" s="1">
        <v>9449</v>
      </c>
      <c r="X20" s="1">
        <v>9821</v>
      </c>
      <c r="Y20" s="1">
        <v>10263</v>
      </c>
      <c r="Z20" s="1">
        <v>10951</v>
      </c>
      <c r="AA20" s="1">
        <v>11329</v>
      </c>
      <c r="AB20" s="1">
        <v>11493</v>
      </c>
      <c r="AC20" s="1">
        <v>12196</v>
      </c>
    </row>
    <row r="21" spans="1:29" x14ac:dyDescent="0.35">
      <c r="A21" s="2" t="s">
        <v>26</v>
      </c>
      <c r="B21" s="2" t="s">
        <v>46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17752</v>
      </c>
      <c r="T21" s="1">
        <v>24539</v>
      </c>
      <c r="U21" s="1">
        <v>27610</v>
      </c>
      <c r="V21" s="1">
        <v>26469</v>
      </c>
      <c r="W21" s="1">
        <v>29800</v>
      </c>
      <c r="X21" s="1">
        <v>31073</v>
      </c>
      <c r="Y21" s="1">
        <v>33716</v>
      </c>
      <c r="Z21" s="1">
        <v>33344</v>
      </c>
      <c r="AA21" s="1">
        <v>34626</v>
      </c>
      <c r="AB21" s="1">
        <v>33949</v>
      </c>
      <c r="AC21" s="1">
        <v>36007</v>
      </c>
    </row>
    <row r="22" spans="1:29" x14ac:dyDescent="0.35">
      <c r="A22" s="2" t="s">
        <v>47</v>
      </c>
      <c r="B22" s="2" t="s">
        <v>48</v>
      </c>
      <c r="C22" s="1">
        <v>73407</v>
      </c>
      <c r="D22" s="1">
        <v>79588</v>
      </c>
      <c r="E22" s="1">
        <v>81071</v>
      </c>
      <c r="F22" s="1">
        <v>72355</v>
      </c>
      <c r="G22" s="1">
        <v>75963</v>
      </c>
      <c r="H22" s="1">
        <v>72085</v>
      </c>
      <c r="I22" s="1">
        <v>76717</v>
      </c>
      <c r="J22" s="1">
        <v>84813</v>
      </c>
      <c r="K22" s="1">
        <v>87751</v>
      </c>
      <c r="L22" s="1">
        <v>91291</v>
      </c>
      <c r="M22" s="1">
        <v>97704</v>
      </c>
      <c r="N22" s="1">
        <v>97938</v>
      </c>
      <c r="O22" s="1">
        <v>97628</v>
      </c>
      <c r="P22" s="1">
        <v>99683</v>
      </c>
      <c r="Q22" s="1">
        <v>99206</v>
      </c>
      <c r="R22" s="1">
        <v>103973</v>
      </c>
      <c r="S22" s="1">
        <v>112854</v>
      </c>
      <c r="T22" s="1">
        <v>122629</v>
      </c>
      <c r="U22" s="1">
        <v>120697</v>
      </c>
      <c r="V22" s="1">
        <v>123676</v>
      </c>
      <c r="W22" s="1">
        <v>127440</v>
      </c>
      <c r="X22" s="1">
        <v>135350</v>
      </c>
      <c r="Y22" s="1">
        <v>141094</v>
      </c>
      <c r="Z22" s="1">
        <v>147257</v>
      </c>
      <c r="AA22" s="1">
        <v>151983</v>
      </c>
      <c r="AB22" s="1">
        <v>142780</v>
      </c>
      <c r="AC22" s="1">
        <v>141701</v>
      </c>
    </row>
    <row r="23" spans="1:29" x14ac:dyDescent="0.35">
      <c r="A23" s="2" t="s">
        <v>47</v>
      </c>
      <c r="B23" s="2" t="s">
        <v>49</v>
      </c>
      <c r="C23" s="1">
        <v>30807</v>
      </c>
      <c r="D23" s="1">
        <v>34385</v>
      </c>
      <c r="E23" s="1">
        <v>33813</v>
      </c>
      <c r="F23" s="1">
        <v>30410</v>
      </c>
      <c r="G23" s="1">
        <v>30614</v>
      </c>
      <c r="H23" s="1">
        <v>30539</v>
      </c>
      <c r="I23" s="1">
        <v>32171</v>
      </c>
      <c r="J23" s="1">
        <v>34524</v>
      </c>
      <c r="K23" s="1">
        <v>34875</v>
      </c>
      <c r="L23" s="1">
        <v>35574</v>
      </c>
      <c r="M23" s="1">
        <v>36916</v>
      </c>
      <c r="N23" s="1">
        <v>36329</v>
      </c>
      <c r="O23" s="1">
        <v>36825</v>
      </c>
      <c r="P23" s="1">
        <v>35840</v>
      </c>
      <c r="Q23" s="1">
        <v>38025</v>
      </c>
      <c r="R23" s="1">
        <v>39500</v>
      </c>
      <c r="S23" s="1">
        <v>41119</v>
      </c>
      <c r="T23" s="1">
        <v>41725</v>
      </c>
      <c r="U23" s="1">
        <v>41740</v>
      </c>
      <c r="V23" s="1">
        <v>40948</v>
      </c>
      <c r="W23" s="1">
        <v>40386</v>
      </c>
      <c r="X23" s="1">
        <v>41177</v>
      </c>
      <c r="Y23" s="1">
        <v>42072</v>
      </c>
      <c r="Z23" s="1">
        <v>42360</v>
      </c>
      <c r="AA23" s="1">
        <v>41824</v>
      </c>
      <c r="AB23" s="1">
        <v>40783</v>
      </c>
      <c r="AC23" s="1">
        <v>41756</v>
      </c>
    </row>
    <row r="24" spans="1:29" x14ac:dyDescent="0.35">
      <c r="A24" s="2" t="s">
        <v>47</v>
      </c>
      <c r="B24" s="2" t="s">
        <v>50</v>
      </c>
      <c r="C24" s="1">
        <v>13713</v>
      </c>
      <c r="D24" s="1">
        <v>15703</v>
      </c>
      <c r="E24" s="1">
        <v>15599</v>
      </c>
      <c r="F24" s="1">
        <v>14444</v>
      </c>
      <c r="G24" s="1">
        <v>16324</v>
      </c>
      <c r="H24" s="1">
        <v>13641</v>
      </c>
      <c r="I24" s="1">
        <v>13740</v>
      </c>
      <c r="J24" s="1">
        <v>14403</v>
      </c>
      <c r="K24" s="1">
        <v>16164</v>
      </c>
      <c r="L24" s="1">
        <v>15808</v>
      </c>
      <c r="M24" s="1">
        <v>16480</v>
      </c>
      <c r="N24" s="1">
        <v>16860</v>
      </c>
      <c r="O24" s="1">
        <v>17446</v>
      </c>
      <c r="P24" s="1">
        <v>17771</v>
      </c>
      <c r="Q24" s="1">
        <v>17913</v>
      </c>
      <c r="R24" s="1">
        <v>18153</v>
      </c>
      <c r="S24" s="1">
        <v>19205</v>
      </c>
      <c r="T24" s="1">
        <v>21737</v>
      </c>
      <c r="U24" s="1">
        <v>21290</v>
      </c>
      <c r="V24" s="1">
        <v>20059</v>
      </c>
      <c r="W24" s="1">
        <v>18498</v>
      </c>
      <c r="X24" s="1">
        <v>19012</v>
      </c>
      <c r="Y24" s="1">
        <v>22653</v>
      </c>
      <c r="Z24" s="1">
        <v>23394</v>
      </c>
      <c r="AA24" s="1">
        <v>22151</v>
      </c>
      <c r="AB24" s="1">
        <v>21164</v>
      </c>
      <c r="AC24" s="1">
        <v>22141</v>
      </c>
    </row>
    <row r="25" spans="1:29" x14ac:dyDescent="0.35">
      <c r="A25" s="2" t="s">
        <v>47</v>
      </c>
      <c r="B25" s="2" t="s">
        <v>51</v>
      </c>
      <c r="C25" s="1">
        <v>4547</v>
      </c>
      <c r="D25" s="1">
        <v>4902</v>
      </c>
      <c r="E25" s="1">
        <v>4842</v>
      </c>
      <c r="F25" s="1">
        <v>4861</v>
      </c>
      <c r="G25" s="1">
        <v>5316</v>
      </c>
      <c r="H25" s="1">
        <v>5330</v>
      </c>
      <c r="I25" s="1">
        <v>5133</v>
      </c>
      <c r="J25" s="1">
        <v>5238</v>
      </c>
      <c r="K25" s="1">
        <v>5181</v>
      </c>
      <c r="L25" s="1">
        <v>5322</v>
      </c>
      <c r="M25" s="1">
        <v>5266</v>
      </c>
      <c r="N25" s="1">
        <v>5466</v>
      </c>
      <c r="O25" s="1">
        <v>5618</v>
      </c>
      <c r="P25" s="1">
        <v>5523</v>
      </c>
      <c r="Q25" s="1">
        <v>5721</v>
      </c>
      <c r="R25" s="1">
        <v>5627</v>
      </c>
      <c r="S25" s="1">
        <v>5795</v>
      </c>
      <c r="T25" s="1">
        <v>5720</v>
      </c>
      <c r="U25" s="1">
        <v>5952</v>
      </c>
      <c r="V25" s="1">
        <v>5892</v>
      </c>
      <c r="W25" s="1">
        <v>6542</v>
      </c>
      <c r="X25" s="1">
        <v>6574</v>
      </c>
      <c r="Y25" s="1">
        <v>6791</v>
      </c>
      <c r="Z25" s="1">
        <v>7041</v>
      </c>
      <c r="AA25" s="1">
        <v>7824</v>
      </c>
      <c r="AB25" s="1">
        <v>7699</v>
      </c>
      <c r="AC25" s="1">
        <v>7808</v>
      </c>
    </row>
    <row r="26" spans="1:29" x14ac:dyDescent="0.35">
      <c r="A26" s="2" t="s">
        <v>47</v>
      </c>
      <c r="B26" s="2" t="s">
        <v>52</v>
      </c>
      <c r="C26" s="1">
        <v>26667</v>
      </c>
      <c r="D26" s="1">
        <v>28532</v>
      </c>
      <c r="E26" s="1">
        <v>28003</v>
      </c>
      <c r="F26" s="1">
        <v>27541</v>
      </c>
      <c r="G26" s="1">
        <v>29673</v>
      </c>
      <c r="H26" s="1">
        <v>30228</v>
      </c>
      <c r="I26" s="1">
        <v>30500</v>
      </c>
      <c r="J26" s="1">
        <v>32666</v>
      </c>
      <c r="K26" s="1">
        <v>34130</v>
      </c>
      <c r="L26" s="1">
        <v>35270</v>
      </c>
      <c r="M26" s="1">
        <v>38648</v>
      </c>
      <c r="N26" s="1">
        <v>38129</v>
      </c>
      <c r="O26" s="1">
        <v>40467</v>
      </c>
      <c r="P26" s="1">
        <v>40950</v>
      </c>
      <c r="Q26" s="1">
        <v>41853</v>
      </c>
      <c r="R26" s="1">
        <v>43288</v>
      </c>
      <c r="S26" s="1">
        <v>45886</v>
      </c>
      <c r="T26" s="1">
        <v>50329</v>
      </c>
      <c r="U26" s="1">
        <v>51237</v>
      </c>
      <c r="V26" s="1">
        <v>50354</v>
      </c>
      <c r="W26" s="1">
        <v>51317</v>
      </c>
      <c r="X26" s="1">
        <v>52466</v>
      </c>
      <c r="Y26" s="1">
        <v>54822</v>
      </c>
      <c r="Z26" s="1">
        <v>54575</v>
      </c>
      <c r="AA26" s="1">
        <v>54261</v>
      </c>
      <c r="AB26" s="1">
        <v>51818</v>
      </c>
      <c r="AC26" s="1">
        <v>52763</v>
      </c>
    </row>
    <row r="27" spans="1:29" x14ac:dyDescent="0.35">
      <c r="A27" s="2" t="s">
        <v>47</v>
      </c>
      <c r="B27" s="2" t="s">
        <v>53</v>
      </c>
      <c r="C27" s="1">
        <v>11323</v>
      </c>
      <c r="D27" s="1">
        <v>12080</v>
      </c>
      <c r="E27" s="1">
        <v>11875</v>
      </c>
      <c r="F27" s="1">
        <v>11097</v>
      </c>
      <c r="G27" s="1">
        <v>11746</v>
      </c>
      <c r="H27" s="1">
        <v>11990</v>
      </c>
      <c r="I27" s="1">
        <v>11965</v>
      </c>
      <c r="J27" s="1">
        <v>12789</v>
      </c>
      <c r="K27" s="1">
        <v>13322</v>
      </c>
      <c r="L27" s="1">
        <v>14090</v>
      </c>
      <c r="M27" s="1">
        <v>14453</v>
      </c>
      <c r="N27" s="1">
        <v>14144</v>
      </c>
      <c r="O27" s="1">
        <v>14533</v>
      </c>
      <c r="P27" s="1">
        <v>14005</v>
      </c>
      <c r="Q27" s="1">
        <v>14285</v>
      </c>
      <c r="R27" s="1">
        <v>15053</v>
      </c>
      <c r="S27" s="1">
        <v>15615</v>
      </c>
      <c r="T27" s="1">
        <v>16373</v>
      </c>
      <c r="U27" s="1">
        <v>16278</v>
      </c>
      <c r="V27" s="1">
        <v>15910</v>
      </c>
      <c r="W27" s="1">
        <v>15804</v>
      </c>
      <c r="X27" s="1">
        <v>16965</v>
      </c>
      <c r="Y27" s="1">
        <v>17153</v>
      </c>
      <c r="Z27" s="1">
        <v>17786</v>
      </c>
      <c r="AA27" s="1">
        <v>17717</v>
      </c>
      <c r="AB27" s="1">
        <v>17511</v>
      </c>
      <c r="AC27" s="1">
        <v>17369</v>
      </c>
    </row>
    <row r="28" spans="1:29" x14ac:dyDescent="0.35">
      <c r="A28" s="2" t="s">
        <v>47</v>
      </c>
      <c r="B28" s="2" t="s">
        <v>54</v>
      </c>
      <c r="C28" s="1">
        <v>22350</v>
      </c>
      <c r="D28" s="1">
        <v>24500</v>
      </c>
      <c r="E28" s="1">
        <v>26012</v>
      </c>
      <c r="F28" s="1">
        <v>23071</v>
      </c>
      <c r="G28" s="1">
        <v>24753</v>
      </c>
      <c r="H28" s="1">
        <v>29013</v>
      </c>
      <c r="I28" s="1">
        <v>27123</v>
      </c>
      <c r="J28" s="1">
        <v>29782</v>
      </c>
      <c r="K28" s="1">
        <v>31973</v>
      </c>
      <c r="L28" s="1">
        <v>34211</v>
      </c>
      <c r="M28" s="1">
        <v>37340</v>
      </c>
      <c r="N28" s="1">
        <v>37454</v>
      </c>
      <c r="O28" s="1">
        <v>38649</v>
      </c>
      <c r="P28" s="1">
        <v>39626</v>
      </c>
      <c r="Q28" s="1">
        <v>40548</v>
      </c>
      <c r="R28" s="1">
        <v>48149</v>
      </c>
      <c r="S28" s="1">
        <v>49121</v>
      </c>
      <c r="T28" s="1">
        <v>45428</v>
      </c>
      <c r="U28" s="1">
        <v>41812</v>
      </c>
      <c r="V28" s="1">
        <v>46480</v>
      </c>
      <c r="W28" s="1">
        <v>42305</v>
      </c>
      <c r="X28" s="1">
        <v>42814</v>
      </c>
      <c r="Y28" s="1">
        <v>47290</v>
      </c>
      <c r="Z28" s="1">
        <v>50475</v>
      </c>
      <c r="AA28" s="1">
        <v>49966</v>
      </c>
      <c r="AB28" s="1">
        <v>50552</v>
      </c>
      <c r="AC28" s="1">
        <v>55177</v>
      </c>
    </row>
    <row r="29" spans="1:29" x14ac:dyDescent="0.35">
      <c r="A29" s="2" t="s">
        <v>47</v>
      </c>
      <c r="B29" s="2" t="s">
        <v>55</v>
      </c>
      <c r="C29" s="1">
        <v>10492</v>
      </c>
      <c r="D29" s="1">
        <v>11068</v>
      </c>
      <c r="E29" s="1">
        <v>10923</v>
      </c>
      <c r="F29" s="1">
        <v>10150</v>
      </c>
      <c r="G29" s="1">
        <v>10765</v>
      </c>
      <c r="H29" s="1">
        <v>11224</v>
      </c>
      <c r="I29" s="1">
        <v>11264</v>
      </c>
      <c r="J29" s="1">
        <v>12082</v>
      </c>
      <c r="K29" s="1">
        <v>12456</v>
      </c>
      <c r="L29" s="1">
        <v>12714</v>
      </c>
      <c r="M29" s="1">
        <v>12719</v>
      </c>
      <c r="N29" s="1">
        <v>12988</v>
      </c>
      <c r="O29" s="1">
        <v>13729</v>
      </c>
      <c r="P29" s="1">
        <v>13488</v>
      </c>
      <c r="Q29" s="1">
        <v>14131</v>
      </c>
      <c r="R29" s="1">
        <v>14514</v>
      </c>
      <c r="S29" s="1">
        <v>14575</v>
      </c>
      <c r="T29" s="1">
        <v>15693</v>
      </c>
      <c r="U29" s="1">
        <v>15649</v>
      </c>
      <c r="V29" s="1">
        <v>15671</v>
      </c>
      <c r="W29" s="1">
        <v>16565</v>
      </c>
      <c r="X29" s="1">
        <v>17039</v>
      </c>
      <c r="Y29" s="1">
        <v>17651</v>
      </c>
      <c r="Z29" s="1">
        <v>18573</v>
      </c>
      <c r="AA29" s="1">
        <v>18461</v>
      </c>
      <c r="AB29" s="1">
        <v>18567</v>
      </c>
      <c r="AC29" s="1">
        <v>19020</v>
      </c>
    </row>
    <row r="30" spans="1:29" x14ac:dyDescent="0.35">
      <c r="A30" s="2" t="s">
        <v>47</v>
      </c>
      <c r="B30" s="2" t="s">
        <v>56</v>
      </c>
      <c r="C30" s="1">
        <v>10930</v>
      </c>
      <c r="D30" s="1">
        <v>12082</v>
      </c>
      <c r="E30" s="1">
        <v>11514</v>
      </c>
      <c r="F30" s="1">
        <v>11169</v>
      </c>
      <c r="G30" s="1">
        <v>12030</v>
      </c>
      <c r="H30" s="1">
        <v>12311</v>
      </c>
      <c r="I30" s="1">
        <v>12366</v>
      </c>
      <c r="J30" s="1">
        <v>13159</v>
      </c>
      <c r="K30" s="1">
        <v>13779</v>
      </c>
      <c r="L30" s="1">
        <v>14413</v>
      </c>
      <c r="M30" s="1">
        <v>15644</v>
      </c>
      <c r="N30" s="1">
        <v>15875</v>
      </c>
      <c r="O30" s="1">
        <v>16278</v>
      </c>
      <c r="P30" s="1">
        <v>15685</v>
      </c>
      <c r="Q30" s="1">
        <v>16447</v>
      </c>
      <c r="R30" s="1">
        <v>16832</v>
      </c>
      <c r="S30" s="1">
        <v>17195</v>
      </c>
      <c r="T30" s="1">
        <v>17689</v>
      </c>
      <c r="U30" s="1">
        <v>17412</v>
      </c>
      <c r="V30" s="1">
        <v>16925</v>
      </c>
      <c r="W30" s="1">
        <v>17341</v>
      </c>
      <c r="X30" s="1">
        <v>17409</v>
      </c>
      <c r="Y30" s="1">
        <v>18297</v>
      </c>
      <c r="Z30" s="1">
        <v>18012</v>
      </c>
      <c r="AA30" s="1">
        <v>17976</v>
      </c>
      <c r="AB30" s="1">
        <v>17372</v>
      </c>
      <c r="AC30" s="1">
        <v>17623</v>
      </c>
    </row>
    <row r="31" spans="1:29" x14ac:dyDescent="0.35">
      <c r="A31" s="2" t="s">
        <v>47</v>
      </c>
      <c r="B31" s="2" t="s">
        <v>57</v>
      </c>
      <c r="C31" s="1">
        <v>37930</v>
      </c>
      <c r="D31" s="1">
        <v>41939</v>
      </c>
      <c r="E31" s="1">
        <v>41413</v>
      </c>
      <c r="F31" s="1">
        <v>37625</v>
      </c>
      <c r="G31" s="1">
        <v>39715</v>
      </c>
      <c r="H31" s="1">
        <v>37796</v>
      </c>
      <c r="I31" s="1">
        <v>38622</v>
      </c>
      <c r="J31" s="1">
        <v>42007</v>
      </c>
      <c r="K31" s="1">
        <v>49255</v>
      </c>
      <c r="L31" s="1">
        <v>49753</v>
      </c>
      <c r="M31" s="1">
        <v>50815</v>
      </c>
      <c r="N31" s="1">
        <v>51940</v>
      </c>
      <c r="O31" s="1">
        <v>53678</v>
      </c>
      <c r="P31" s="1">
        <v>53921</v>
      </c>
      <c r="Q31" s="1">
        <v>55203</v>
      </c>
      <c r="R31" s="1">
        <v>54870</v>
      </c>
      <c r="S31" s="1">
        <v>58284</v>
      </c>
      <c r="T31" s="1">
        <v>64590</v>
      </c>
      <c r="U31" s="1">
        <v>64959</v>
      </c>
      <c r="V31" s="1">
        <v>61608</v>
      </c>
      <c r="W31" s="1">
        <v>59736</v>
      </c>
      <c r="X31" s="1">
        <v>56343</v>
      </c>
      <c r="Y31" s="1">
        <v>59298</v>
      </c>
      <c r="Z31" s="1">
        <v>63380</v>
      </c>
      <c r="AA31" s="1">
        <v>62490</v>
      </c>
      <c r="AB31" s="1">
        <v>58589</v>
      </c>
      <c r="AC31" s="1">
        <v>58082</v>
      </c>
    </row>
    <row r="32" spans="1:29" x14ac:dyDescent="0.35">
      <c r="A32" s="2" t="s">
        <v>47</v>
      </c>
      <c r="B32" s="2" t="s">
        <v>58</v>
      </c>
      <c r="C32" s="1">
        <v>27617</v>
      </c>
      <c r="D32" s="1">
        <v>31807</v>
      </c>
      <c r="E32" s="1">
        <v>31579</v>
      </c>
      <c r="F32" s="1">
        <v>31683</v>
      </c>
      <c r="G32" s="1">
        <v>34419</v>
      </c>
      <c r="H32" s="1">
        <v>31845</v>
      </c>
      <c r="I32" s="1">
        <v>32155</v>
      </c>
      <c r="J32" s="1">
        <v>35428</v>
      </c>
      <c r="K32" s="1">
        <v>37771</v>
      </c>
      <c r="L32" s="1">
        <v>35148</v>
      </c>
      <c r="M32" s="1">
        <v>37227</v>
      </c>
      <c r="N32" s="1">
        <v>37679</v>
      </c>
      <c r="O32" s="1">
        <v>39327</v>
      </c>
      <c r="P32" s="1">
        <v>39962</v>
      </c>
      <c r="Q32" s="1">
        <v>40453</v>
      </c>
      <c r="R32" s="1">
        <v>41040</v>
      </c>
      <c r="S32" s="1">
        <v>42895</v>
      </c>
      <c r="T32" s="1">
        <v>51094</v>
      </c>
      <c r="U32" s="1">
        <v>49173</v>
      </c>
      <c r="V32" s="1">
        <v>46893</v>
      </c>
      <c r="W32" s="1">
        <v>46111</v>
      </c>
      <c r="X32" s="1">
        <v>46190</v>
      </c>
      <c r="Y32" s="1">
        <v>49297</v>
      </c>
      <c r="Z32" s="1">
        <v>50862</v>
      </c>
      <c r="AA32" s="1">
        <v>51349</v>
      </c>
      <c r="AB32" s="1">
        <v>48653</v>
      </c>
      <c r="AC32" s="1">
        <v>50745</v>
      </c>
    </row>
    <row r="33" spans="1:29" x14ac:dyDescent="0.35">
      <c r="A33" s="2" t="s">
        <v>47</v>
      </c>
      <c r="B33" s="2" t="s">
        <v>59</v>
      </c>
      <c r="C33" s="1">
        <v>26706</v>
      </c>
      <c r="D33" s="1">
        <v>29112</v>
      </c>
      <c r="E33" s="1">
        <v>27152</v>
      </c>
      <c r="F33" s="1">
        <v>27433</v>
      </c>
      <c r="G33" s="1">
        <v>29310</v>
      </c>
      <c r="H33" s="1">
        <v>30144</v>
      </c>
      <c r="I33" s="1">
        <v>28970</v>
      </c>
      <c r="J33" s="1">
        <v>37709</v>
      </c>
      <c r="K33" s="1">
        <v>49787</v>
      </c>
      <c r="L33" s="1">
        <v>47471</v>
      </c>
      <c r="M33" s="1">
        <v>46627</v>
      </c>
      <c r="N33" s="1">
        <v>49878</v>
      </c>
      <c r="O33" s="1">
        <v>53416</v>
      </c>
      <c r="P33" s="1">
        <v>52901</v>
      </c>
      <c r="Q33" s="1">
        <v>50271</v>
      </c>
      <c r="R33" s="1">
        <v>49990</v>
      </c>
      <c r="S33" s="1">
        <v>55059</v>
      </c>
      <c r="T33" s="1">
        <v>62708</v>
      </c>
      <c r="U33" s="1">
        <v>64833</v>
      </c>
      <c r="V33" s="1">
        <v>59081</v>
      </c>
      <c r="W33" s="1">
        <v>60816</v>
      </c>
      <c r="X33" s="1">
        <v>64681</v>
      </c>
      <c r="Y33" s="1">
        <v>65486</v>
      </c>
      <c r="Z33" s="1">
        <v>68290</v>
      </c>
      <c r="AA33" s="1">
        <v>70162</v>
      </c>
      <c r="AB33" s="1">
        <v>64489</v>
      </c>
      <c r="AC33" s="1">
        <v>63289</v>
      </c>
    </row>
    <row r="34" spans="1:29" x14ac:dyDescent="0.35">
      <c r="A34" s="2" t="s">
        <v>47</v>
      </c>
      <c r="B34" s="2" t="s">
        <v>60</v>
      </c>
      <c r="C34" s="1">
        <v>8541</v>
      </c>
      <c r="D34" s="1">
        <v>9356</v>
      </c>
      <c r="E34" s="1">
        <v>9502</v>
      </c>
      <c r="F34" s="1">
        <v>9352</v>
      </c>
      <c r="G34" s="1">
        <v>9940</v>
      </c>
      <c r="H34" s="1">
        <v>10983</v>
      </c>
      <c r="I34" s="1">
        <v>9760</v>
      </c>
      <c r="J34" s="1">
        <v>9786</v>
      </c>
      <c r="K34" s="1">
        <v>11368</v>
      </c>
      <c r="L34" s="1">
        <v>11096</v>
      </c>
      <c r="M34" s="1">
        <v>10864</v>
      </c>
      <c r="N34" s="1">
        <v>11498</v>
      </c>
      <c r="O34" s="1">
        <v>13629</v>
      </c>
      <c r="P34" s="1">
        <v>13294</v>
      </c>
      <c r="Q34" s="1">
        <v>13928</v>
      </c>
      <c r="R34" s="1">
        <v>13158</v>
      </c>
      <c r="S34" s="1">
        <v>15573</v>
      </c>
      <c r="T34" s="1">
        <v>16347</v>
      </c>
      <c r="U34" s="1">
        <v>16642</v>
      </c>
      <c r="V34" s="1">
        <v>16234</v>
      </c>
      <c r="W34" s="1">
        <v>15368</v>
      </c>
      <c r="X34" s="1">
        <v>14804</v>
      </c>
      <c r="Y34" s="1">
        <v>15894</v>
      </c>
      <c r="Z34" s="1">
        <v>17562</v>
      </c>
      <c r="AA34" s="1">
        <v>15996</v>
      </c>
      <c r="AB34" s="1">
        <v>13828</v>
      </c>
      <c r="AC34" s="1">
        <v>15295</v>
      </c>
    </row>
    <row r="35" spans="1:29" x14ac:dyDescent="0.35">
      <c r="A35" s="2" t="s">
        <v>47</v>
      </c>
      <c r="B35" s="2" t="s">
        <v>61</v>
      </c>
      <c r="C35" s="1">
        <v>13091</v>
      </c>
      <c r="D35" s="1">
        <v>14587</v>
      </c>
      <c r="E35" s="1">
        <v>14235</v>
      </c>
      <c r="F35" s="1">
        <v>14433</v>
      </c>
      <c r="G35" s="1">
        <v>15465</v>
      </c>
      <c r="H35" s="1">
        <v>15348</v>
      </c>
      <c r="I35" s="1">
        <v>15751</v>
      </c>
      <c r="J35" s="1">
        <v>16329</v>
      </c>
      <c r="K35" s="1">
        <v>18410</v>
      </c>
      <c r="L35" s="1">
        <v>18093</v>
      </c>
      <c r="M35" s="1">
        <v>18196</v>
      </c>
      <c r="N35" s="1">
        <v>18235</v>
      </c>
      <c r="O35" s="1">
        <v>19124</v>
      </c>
      <c r="P35" s="1">
        <v>19175</v>
      </c>
      <c r="Q35" s="1">
        <v>19568</v>
      </c>
      <c r="R35" s="1">
        <v>21278</v>
      </c>
      <c r="S35" s="1">
        <v>23289</v>
      </c>
      <c r="T35" s="1">
        <v>26067</v>
      </c>
      <c r="U35" s="1">
        <v>25553</v>
      </c>
      <c r="V35" s="1">
        <v>24637</v>
      </c>
      <c r="W35" s="1">
        <v>23921</v>
      </c>
      <c r="X35" s="1">
        <v>24928</v>
      </c>
      <c r="Y35" s="1">
        <v>26181</v>
      </c>
      <c r="Z35" s="1">
        <v>28277</v>
      </c>
      <c r="AA35" s="1">
        <v>27442</v>
      </c>
      <c r="AB35" s="1">
        <v>25737</v>
      </c>
      <c r="AC35" s="1">
        <v>25928</v>
      </c>
    </row>
    <row r="36" spans="1:29" x14ac:dyDescent="0.35">
      <c r="A36" s="2" t="s">
        <v>47</v>
      </c>
      <c r="B36" s="2" t="s">
        <v>62</v>
      </c>
      <c r="C36" s="1">
        <v>14707</v>
      </c>
      <c r="D36" s="1">
        <v>15609</v>
      </c>
      <c r="E36" s="1">
        <v>14508</v>
      </c>
      <c r="F36" s="1">
        <v>14789</v>
      </c>
      <c r="G36" s="1">
        <v>15520</v>
      </c>
      <c r="H36" s="1">
        <v>16313</v>
      </c>
      <c r="I36" s="1">
        <v>16938</v>
      </c>
      <c r="J36" s="1">
        <v>17571</v>
      </c>
      <c r="K36" s="1">
        <v>18755</v>
      </c>
      <c r="L36" s="1">
        <v>19791</v>
      </c>
      <c r="M36" s="1">
        <v>21121</v>
      </c>
      <c r="N36" s="1">
        <v>21415</v>
      </c>
      <c r="O36" s="1">
        <v>21758</v>
      </c>
      <c r="P36" s="1">
        <v>21186</v>
      </c>
      <c r="Q36" s="1">
        <v>22919</v>
      </c>
      <c r="R36" s="1">
        <v>23535</v>
      </c>
      <c r="S36" s="1">
        <v>23333</v>
      </c>
      <c r="T36" s="1">
        <v>25413</v>
      </c>
      <c r="U36" s="1">
        <v>25065</v>
      </c>
      <c r="V36" s="1">
        <v>25591</v>
      </c>
      <c r="W36" s="1">
        <v>26661</v>
      </c>
      <c r="X36" s="1">
        <v>26802</v>
      </c>
      <c r="Y36" s="1">
        <v>27083</v>
      </c>
      <c r="Z36" s="1">
        <v>31468</v>
      </c>
      <c r="AA36" s="1">
        <v>35002</v>
      </c>
      <c r="AB36" s="1">
        <v>32539</v>
      </c>
      <c r="AC36" s="1">
        <v>31333</v>
      </c>
    </row>
    <row r="37" spans="1:29" x14ac:dyDescent="0.35">
      <c r="A37" s="2" t="s">
        <v>47</v>
      </c>
      <c r="B37" s="2" t="s">
        <v>63</v>
      </c>
      <c r="C37" s="1">
        <v>13199</v>
      </c>
      <c r="D37" s="1">
        <v>14909</v>
      </c>
      <c r="E37" s="1">
        <v>15276</v>
      </c>
      <c r="F37" s="1">
        <v>15947</v>
      </c>
      <c r="G37" s="1">
        <v>15272</v>
      </c>
      <c r="H37" s="1">
        <v>16511</v>
      </c>
      <c r="I37" s="1">
        <v>17223</v>
      </c>
      <c r="J37" s="1">
        <v>18103</v>
      </c>
      <c r="K37" s="1">
        <v>19008</v>
      </c>
      <c r="L37" s="1">
        <v>18811</v>
      </c>
      <c r="M37" s="1">
        <v>20059</v>
      </c>
      <c r="N37" s="1">
        <v>20004</v>
      </c>
      <c r="O37" s="1">
        <v>19702</v>
      </c>
      <c r="P37" s="1">
        <v>20022</v>
      </c>
      <c r="Q37" s="1">
        <v>21384</v>
      </c>
      <c r="R37" s="1">
        <v>22402</v>
      </c>
      <c r="S37" s="1">
        <v>21805</v>
      </c>
      <c r="T37" s="1">
        <v>26080</v>
      </c>
      <c r="U37" s="1">
        <v>26888</v>
      </c>
      <c r="V37" s="1">
        <v>23119</v>
      </c>
      <c r="W37" s="1">
        <v>20949</v>
      </c>
      <c r="X37" s="1">
        <v>20360</v>
      </c>
      <c r="Y37" s="1">
        <v>21556</v>
      </c>
      <c r="Z37" s="1">
        <v>23747</v>
      </c>
      <c r="AA37" s="1">
        <v>23079</v>
      </c>
      <c r="AB37" s="1">
        <v>22032</v>
      </c>
      <c r="AC37" s="1">
        <v>22178</v>
      </c>
    </row>
    <row r="38" spans="1:29" x14ac:dyDescent="0.35">
      <c r="A38" s="2" t="s">
        <v>47</v>
      </c>
      <c r="B38" s="2" t="s">
        <v>64</v>
      </c>
      <c r="C38" s="1">
        <v>23281</v>
      </c>
      <c r="D38" s="1">
        <v>24442</v>
      </c>
      <c r="E38" s="1">
        <v>22629</v>
      </c>
      <c r="F38" s="1">
        <v>23504</v>
      </c>
      <c r="G38" s="1">
        <v>25038</v>
      </c>
      <c r="H38" s="1">
        <v>24714</v>
      </c>
      <c r="I38" s="1">
        <v>26390</v>
      </c>
      <c r="J38" s="1">
        <v>26710</v>
      </c>
      <c r="K38" s="1">
        <v>29372</v>
      </c>
      <c r="L38" s="1">
        <v>28389</v>
      </c>
      <c r="M38" s="1">
        <v>30154</v>
      </c>
      <c r="N38" s="1">
        <v>30779</v>
      </c>
      <c r="O38" s="1">
        <v>33168</v>
      </c>
      <c r="P38" s="1">
        <v>36166</v>
      </c>
      <c r="Q38" s="1">
        <v>37618</v>
      </c>
      <c r="R38" s="1">
        <v>37192</v>
      </c>
      <c r="S38" s="1">
        <v>37826</v>
      </c>
      <c r="T38" s="1">
        <v>41627</v>
      </c>
      <c r="U38" s="1">
        <v>40058</v>
      </c>
      <c r="V38" s="1">
        <v>42159</v>
      </c>
      <c r="W38" s="1">
        <v>41724</v>
      </c>
      <c r="X38" s="1">
        <v>43162</v>
      </c>
      <c r="Y38" s="1">
        <v>41282</v>
      </c>
      <c r="Z38" s="1">
        <v>43217</v>
      </c>
      <c r="AA38" s="1">
        <v>43706</v>
      </c>
      <c r="AB38" s="1">
        <v>41400</v>
      </c>
      <c r="AC38" s="1">
        <v>41174</v>
      </c>
    </row>
    <row r="39" spans="1:29" x14ac:dyDescent="0.35">
      <c r="A39" s="2" t="s">
        <v>65</v>
      </c>
      <c r="B39" s="2" t="s">
        <v>66</v>
      </c>
      <c r="C39" s="1">
        <v>30098</v>
      </c>
      <c r="D39" s="1">
        <v>33003</v>
      </c>
      <c r="E39" s="1">
        <v>33222</v>
      </c>
      <c r="F39" s="1">
        <v>40086</v>
      </c>
      <c r="G39" s="1">
        <v>45078</v>
      </c>
      <c r="H39" s="1">
        <v>51536</v>
      </c>
      <c r="I39" s="1">
        <v>53299</v>
      </c>
      <c r="J39" s="1">
        <v>53833</v>
      </c>
      <c r="K39" s="1">
        <v>52751</v>
      </c>
      <c r="L39" s="1">
        <v>61398</v>
      </c>
      <c r="M39" s="1">
        <v>51634</v>
      </c>
      <c r="N39" s="1">
        <v>66820</v>
      </c>
      <c r="O39" s="1">
        <v>75731</v>
      </c>
      <c r="P39" s="1">
        <v>77414</v>
      </c>
      <c r="Q39" s="1">
        <v>74377</v>
      </c>
      <c r="R39" s="1">
        <v>84077</v>
      </c>
      <c r="S39" s="1">
        <v>91263</v>
      </c>
      <c r="T39" s="1">
        <v>102705</v>
      </c>
      <c r="U39" s="1">
        <v>112233</v>
      </c>
      <c r="V39" s="1">
        <v>116369</v>
      </c>
      <c r="W39" s="1">
        <v>129894</v>
      </c>
      <c r="X39" s="1">
        <v>145042</v>
      </c>
      <c r="Y39" s="1">
        <v>151683</v>
      </c>
      <c r="Z39" s="1">
        <v>163872</v>
      </c>
      <c r="AA39" s="1">
        <v>169771</v>
      </c>
      <c r="AB39" s="1">
        <v>101153</v>
      </c>
      <c r="AC39" s="1">
        <v>74304</v>
      </c>
    </row>
    <row r="40" spans="1:29" x14ac:dyDescent="0.35">
      <c r="A40" s="2" t="s">
        <v>65</v>
      </c>
      <c r="B40" s="2" t="s">
        <v>67</v>
      </c>
      <c r="C40" s="1">
        <v>55462</v>
      </c>
      <c r="D40" s="1">
        <v>59672</v>
      </c>
      <c r="E40" s="1">
        <v>56358</v>
      </c>
      <c r="F40" s="1">
        <v>56233</v>
      </c>
      <c r="G40" s="1">
        <v>60989</v>
      </c>
      <c r="H40" s="1">
        <v>58429</v>
      </c>
      <c r="I40" s="1">
        <v>60195</v>
      </c>
      <c r="J40" s="1">
        <v>63885</v>
      </c>
      <c r="K40" s="1">
        <v>68972</v>
      </c>
      <c r="L40" s="1">
        <v>77537</v>
      </c>
      <c r="M40" s="1">
        <v>80472</v>
      </c>
      <c r="N40" s="1">
        <v>87470</v>
      </c>
      <c r="O40" s="1">
        <v>83012</v>
      </c>
      <c r="P40" s="1">
        <v>87279</v>
      </c>
      <c r="Q40" s="1">
        <v>86622</v>
      </c>
      <c r="R40" s="1">
        <v>91714</v>
      </c>
      <c r="S40" s="1">
        <v>94829</v>
      </c>
      <c r="T40" s="1">
        <v>104587</v>
      </c>
      <c r="U40" s="1">
        <v>113060</v>
      </c>
      <c r="V40" s="1">
        <v>110473</v>
      </c>
      <c r="W40" s="1">
        <v>114998</v>
      </c>
      <c r="X40" s="1">
        <v>117658</v>
      </c>
      <c r="Y40" s="1">
        <v>123349</v>
      </c>
      <c r="Z40" s="1">
        <v>123962</v>
      </c>
      <c r="AA40" s="1">
        <v>124205</v>
      </c>
      <c r="AB40" s="1">
        <v>106003</v>
      </c>
      <c r="AC40" s="1">
        <v>103051</v>
      </c>
    </row>
    <row r="41" spans="1:29" x14ac:dyDescent="0.35">
      <c r="A41" s="2" t="s">
        <v>65</v>
      </c>
      <c r="B41" s="2" t="s">
        <v>68</v>
      </c>
      <c r="C41" s="1">
        <v>16797</v>
      </c>
      <c r="D41" s="1">
        <v>16369</v>
      </c>
      <c r="E41" s="1">
        <v>14485</v>
      </c>
      <c r="F41" s="1">
        <v>14423</v>
      </c>
      <c r="G41" s="1">
        <v>12334</v>
      </c>
      <c r="H41" s="1">
        <v>12061</v>
      </c>
      <c r="I41" s="1">
        <v>11850</v>
      </c>
      <c r="J41" s="1">
        <v>11378</v>
      </c>
      <c r="K41" s="1">
        <v>11897</v>
      </c>
      <c r="L41" s="1">
        <v>14776</v>
      </c>
      <c r="M41" s="1">
        <v>15357</v>
      </c>
      <c r="N41" s="1">
        <v>15696</v>
      </c>
      <c r="O41" s="1">
        <v>16544</v>
      </c>
      <c r="P41" s="1">
        <v>17130</v>
      </c>
      <c r="Q41" s="1">
        <v>17351</v>
      </c>
      <c r="R41" s="1">
        <v>17176</v>
      </c>
      <c r="S41" s="1">
        <v>16369</v>
      </c>
      <c r="T41" s="1">
        <v>16977</v>
      </c>
      <c r="U41" s="1">
        <v>17260</v>
      </c>
      <c r="V41" s="1">
        <v>17352</v>
      </c>
      <c r="W41" s="1">
        <v>16742</v>
      </c>
      <c r="X41" s="1">
        <v>17942</v>
      </c>
      <c r="Y41" s="1">
        <v>18680</v>
      </c>
      <c r="Z41" s="1">
        <v>19436</v>
      </c>
      <c r="AA41" s="1">
        <v>18652</v>
      </c>
      <c r="AB41" s="1">
        <v>19490</v>
      </c>
      <c r="AC41" s="1">
        <v>18631</v>
      </c>
    </row>
    <row r="42" spans="1:29" x14ac:dyDescent="0.35">
      <c r="A42" s="2" t="s">
        <v>65</v>
      </c>
      <c r="B42" s="2" t="s">
        <v>69</v>
      </c>
      <c r="C42" s="1">
        <v>17846</v>
      </c>
      <c r="D42" s="1">
        <v>19286</v>
      </c>
      <c r="E42" s="1">
        <v>20981</v>
      </c>
      <c r="F42" s="1">
        <v>17988</v>
      </c>
      <c r="G42" s="1">
        <v>16563</v>
      </c>
      <c r="H42" s="1">
        <v>17064</v>
      </c>
      <c r="I42" s="1">
        <v>16338</v>
      </c>
      <c r="J42" s="1">
        <v>16447</v>
      </c>
      <c r="K42" s="1">
        <v>17263</v>
      </c>
      <c r="L42" s="1">
        <v>19286</v>
      </c>
      <c r="M42" s="1">
        <v>19165</v>
      </c>
      <c r="N42" s="1">
        <v>19945</v>
      </c>
      <c r="O42" s="1">
        <v>20606</v>
      </c>
      <c r="P42" s="1">
        <v>22355</v>
      </c>
      <c r="Q42" s="1">
        <v>23045</v>
      </c>
      <c r="R42" s="1">
        <v>23165</v>
      </c>
      <c r="S42" s="1">
        <v>24055</v>
      </c>
      <c r="T42" s="1">
        <v>24782</v>
      </c>
      <c r="U42" s="1">
        <v>25937</v>
      </c>
      <c r="V42" s="1">
        <v>28172</v>
      </c>
      <c r="W42" s="1">
        <v>34656</v>
      </c>
      <c r="X42" s="1">
        <v>36498</v>
      </c>
      <c r="Y42" s="1">
        <v>39832</v>
      </c>
      <c r="Z42" s="1">
        <v>40729</v>
      </c>
      <c r="AA42" s="1">
        <v>41706</v>
      </c>
      <c r="AB42" s="1">
        <v>29503</v>
      </c>
      <c r="AC42" s="1">
        <v>26408</v>
      </c>
    </row>
    <row r="43" spans="1:29" x14ac:dyDescent="0.35">
      <c r="A43" s="2" t="s">
        <v>65</v>
      </c>
      <c r="B43" s="2" t="s">
        <v>70</v>
      </c>
      <c r="C43" s="1">
        <v>18963</v>
      </c>
      <c r="D43" s="1">
        <v>19732</v>
      </c>
      <c r="E43" s="1">
        <v>18606</v>
      </c>
      <c r="F43" s="1">
        <v>18581</v>
      </c>
      <c r="G43" s="1">
        <v>21065</v>
      </c>
      <c r="H43" s="1">
        <v>19381</v>
      </c>
      <c r="I43" s="1">
        <v>22515</v>
      </c>
      <c r="J43" s="1">
        <v>24031</v>
      </c>
      <c r="K43" s="1">
        <v>27257</v>
      </c>
      <c r="L43" s="1">
        <v>30442</v>
      </c>
      <c r="M43" s="1">
        <v>27791</v>
      </c>
      <c r="N43" s="1">
        <v>33391</v>
      </c>
      <c r="O43" s="1">
        <v>35372</v>
      </c>
      <c r="P43" s="1">
        <v>37888</v>
      </c>
      <c r="Q43" s="1">
        <v>37319</v>
      </c>
      <c r="R43" s="1">
        <v>35737</v>
      </c>
      <c r="S43" s="1">
        <v>39649</v>
      </c>
      <c r="T43" s="1">
        <v>44468</v>
      </c>
      <c r="U43" s="1">
        <v>45254</v>
      </c>
      <c r="V43" s="1">
        <v>48645</v>
      </c>
      <c r="W43" s="1">
        <v>48809</v>
      </c>
      <c r="X43" s="1">
        <v>49889</v>
      </c>
      <c r="Y43" s="1">
        <v>52357</v>
      </c>
      <c r="Z43" s="1">
        <v>52084</v>
      </c>
      <c r="AA43" s="1">
        <v>51572</v>
      </c>
      <c r="AB43" s="1">
        <v>41789</v>
      </c>
      <c r="AC43" s="1">
        <v>40557</v>
      </c>
    </row>
    <row r="44" spans="1:29" x14ac:dyDescent="0.35">
      <c r="A44" s="2" t="s">
        <v>65</v>
      </c>
      <c r="B44" s="2" t="s">
        <v>71</v>
      </c>
      <c r="C44" s="1">
        <v>24224</v>
      </c>
      <c r="D44" s="1">
        <v>28309</v>
      </c>
      <c r="E44" s="1">
        <v>27330</v>
      </c>
      <c r="F44" s="1">
        <v>28957</v>
      </c>
      <c r="G44" s="1">
        <v>33189</v>
      </c>
      <c r="H44" s="1">
        <v>28130</v>
      </c>
      <c r="I44" s="1">
        <v>27095</v>
      </c>
      <c r="J44" s="1">
        <v>29559</v>
      </c>
      <c r="K44" s="1">
        <v>30106</v>
      </c>
      <c r="L44" s="1">
        <v>32653</v>
      </c>
      <c r="M44" s="1">
        <v>33407</v>
      </c>
      <c r="N44" s="1">
        <v>34735</v>
      </c>
      <c r="O44" s="1">
        <v>36685</v>
      </c>
      <c r="P44" s="1">
        <v>38113</v>
      </c>
      <c r="Q44" s="1">
        <v>39247</v>
      </c>
      <c r="R44" s="1">
        <v>37470</v>
      </c>
      <c r="S44" s="1">
        <v>35776</v>
      </c>
      <c r="T44" s="1">
        <v>36889</v>
      </c>
      <c r="U44" s="1">
        <v>40431</v>
      </c>
      <c r="V44" s="1">
        <v>39993</v>
      </c>
      <c r="W44" s="1">
        <v>38303</v>
      </c>
      <c r="X44" s="1">
        <v>42793</v>
      </c>
      <c r="Y44" s="1">
        <v>42370</v>
      </c>
      <c r="Z44" s="1">
        <v>46234</v>
      </c>
      <c r="AA44" s="1">
        <v>55820</v>
      </c>
      <c r="AB44" s="1">
        <v>57228</v>
      </c>
      <c r="AC44" s="1">
        <v>57900</v>
      </c>
    </row>
    <row r="45" spans="1:29" x14ac:dyDescent="0.35">
      <c r="A45" s="2" t="s">
        <v>65</v>
      </c>
      <c r="B45" s="2" t="s">
        <v>72</v>
      </c>
      <c r="C45" s="1">
        <v>65407</v>
      </c>
      <c r="D45" s="1">
        <v>72428</v>
      </c>
      <c r="E45" s="1">
        <v>76794</v>
      </c>
      <c r="F45" s="1">
        <v>75467</v>
      </c>
      <c r="G45" s="1">
        <v>82146</v>
      </c>
      <c r="H45" s="1">
        <v>79051</v>
      </c>
      <c r="I45" s="1">
        <v>77965</v>
      </c>
      <c r="J45" s="1">
        <v>82148</v>
      </c>
      <c r="K45" s="1">
        <v>86649</v>
      </c>
      <c r="L45" s="1">
        <v>91272</v>
      </c>
      <c r="M45" s="1">
        <v>90452</v>
      </c>
      <c r="N45" s="1">
        <v>85412</v>
      </c>
      <c r="O45" s="1">
        <v>86851</v>
      </c>
      <c r="P45" s="1">
        <v>78560</v>
      </c>
      <c r="Q45" s="1">
        <v>86251</v>
      </c>
      <c r="R45" s="1">
        <v>94883</v>
      </c>
      <c r="S45" s="1">
        <v>86699</v>
      </c>
      <c r="T45" s="1">
        <v>90622</v>
      </c>
      <c r="U45" s="1">
        <v>93258</v>
      </c>
      <c r="V45" s="1">
        <v>90744</v>
      </c>
      <c r="W45" s="1">
        <v>89873</v>
      </c>
      <c r="X45" s="1">
        <v>91618</v>
      </c>
      <c r="Y45" s="1">
        <v>94349</v>
      </c>
      <c r="Z45" s="1">
        <v>96660</v>
      </c>
      <c r="AA45" s="1">
        <v>104614</v>
      </c>
      <c r="AB45" s="1">
        <v>104355</v>
      </c>
      <c r="AC45" s="1">
        <v>105744</v>
      </c>
    </row>
    <row r="46" spans="1:29" x14ac:dyDescent="0.35">
      <c r="A46" s="2" t="s">
        <v>65</v>
      </c>
      <c r="B46" s="2" t="s">
        <v>73</v>
      </c>
      <c r="C46" s="1">
        <v>102796</v>
      </c>
      <c r="D46" s="1">
        <v>100792</v>
      </c>
      <c r="E46" s="1">
        <v>99183</v>
      </c>
      <c r="F46" s="1">
        <v>99930</v>
      </c>
      <c r="G46" s="1">
        <v>101484</v>
      </c>
      <c r="H46" s="1">
        <v>103988</v>
      </c>
      <c r="I46" s="1">
        <v>106010</v>
      </c>
      <c r="J46" s="1">
        <v>108735</v>
      </c>
      <c r="K46" s="1">
        <v>115749</v>
      </c>
      <c r="L46" s="1">
        <v>119455</v>
      </c>
      <c r="M46" s="1">
        <v>128900</v>
      </c>
      <c r="N46" s="1">
        <v>130788</v>
      </c>
      <c r="O46" s="1">
        <v>130595</v>
      </c>
      <c r="P46" s="1">
        <v>129264</v>
      </c>
      <c r="Q46" s="1">
        <v>131608</v>
      </c>
      <c r="R46" s="1">
        <v>142462</v>
      </c>
      <c r="S46" s="1">
        <v>143469</v>
      </c>
      <c r="T46" s="1">
        <v>150979</v>
      </c>
      <c r="U46" s="1">
        <v>159658</v>
      </c>
      <c r="V46" s="1">
        <v>154915</v>
      </c>
      <c r="W46" s="1">
        <v>162760</v>
      </c>
      <c r="X46" s="1">
        <v>165077</v>
      </c>
      <c r="Y46" s="1">
        <v>159844</v>
      </c>
      <c r="Z46" s="1">
        <v>166454</v>
      </c>
      <c r="AA46" s="1">
        <v>160565</v>
      </c>
      <c r="AB46" s="1">
        <v>155613</v>
      </c>
      <c r="AC46" s="1">
        <v>158478</v>
      </c>
    </row>
    <row r="47" spans="1:29" x14ac:dyDescent="0.35">
      <c r="A47" s="2" t="s">
        <v>65</v>
      </c>
      <c r="B47" s="2" t="s">
        <v>74</v>
      </c>
      <c r="C47" s="1">
        <v>16729</v>
      </c>
      <c r="D47" s="1">
        <v>17340</v>
      </c>
      <c r="E47" s="1">
        <v>17056</v>
      </c>
      <c r="F47" s="1">
        <v>17575</v>
      </c>
      <c r="G47" s="1">
        <v>20701</v>
      </c>
      <c r="H47" s="1">
        <v>18848</v>
      </c>
      <c r="I47" s="1">
        <v>17686</v>
      </c>
      <c r="J47" s="1">
        <v>17494</v>
      </c>
      <c r="K47" s="1">
        <v>17106</v>
      </c>
      <c r="L47" s="1">
        <v>18823</v>
      </c>
      <c r="M47" s="1">
        <v>19800</v>
      </c>
      <c r="N47" s="1">
        <v>20403</v>
      </c>
      <c r="O47" s="1">
        <v>20998</v>
      </c>
      <c r="P47" s="1">
        <v>19946</v>
      </c>
      <c r="Q47" s="1">
        <v>20963</v>
      </c>
      <c r="R47" s="1">
        <v>21586</v>
      </c>
      <c r="S47" s="1">
        <v>22162</v>
      </c>
      <c r="T47" s="1">
        <v>22845</v>
      </c>
      <c r="U47" s="1">
        <v>22145</v>
      </c>
      <c r="V47" s="1">
        <v>22421</v>
      </c>
      <c r="W47" s="1">
        <v>22488</v>
      </c>
      <c r="X47" s="1">
        <v>21878</v>
      </c>
      <c r="Y47" s="1">
        <v>20630</v>
      </c>
      <c r="Z47" s="1">
        <v>20146</v>
      </c>
      <c r="AA47" s="1">
        <v>20485</v>
      </c>
      <c r="AB47" s="1">
        <v>21200</v>
      </c>
      <c r="AC47" s="1">
        <v>20978</v>
      </c>
    </row>
    <row r="48" spans="1:29" x14ac:dyDescent="0.35">
      <c r="A48" s="2" t="s">
        <v>65</v>
      </c>
      <c r="B48" s="2" t="s">
        <v>75</v>
      </c>
      <c r="C48" s="1">
        <v>20435</v>
      </c>
      <c r="D48" s="1">
        <v>20508</v>
      </c>
      <c r="E48" s="1">
        <v>19984</v>
      </c>
      <c r="F48" s="1">
        <v>19882</v>
      </c>
      <c r="G48" s="1">
        <v>19937</v>
      </c>
      <c r="H48" s="1">
        <v>18982</v>
      </c>
      <c r="I48" s="1">
        <v>18021</v>
      </c>
      <c r="J48" s="1">
        <v>18414</v>
      </c>
      <c r="K48" s="1">
        <v>20083</v>
      </c>
      <c r="L48" s="1">
        <v>20533</v>
      </c>
      <c r="M48" s="1">
        <v>21712</v>
      </c>
      <c r="N48" s="1">
        <v>21570</v>
      </c>
      <c r="O48" s="1">
        <v>22569</v>
      </c>
      <c r="P48" s="1">
        <v>21678</v>
      </c>
      <c r="Q48" s="1">
        <v>22716</v>
      </c>
      <c r="R48" s="1">
        <v>24440</v>
      </c>
      <c r="S48" s="1">
        <v>24390</v>
      </c>
      <c r="T48" s="1">
        <v>24080</v>
      </c>
      <c r="U48" s="1">
        <v>22042</v>
      </c>
      <c r="V48" s="1">
        <v>22666</v>
      </c>
      <c r="W48" s="1">
        <v>22114</v>
      </c>
      <c r="X48" s="1">
        <v>23452</v>
      </c>
      <c r="Y48" s="1">
        <v>22451</v>
      </c>
      <c r="Z48" s="1">
        <v>24833</v>
      </c>
      <c r="AA48" s="1">
        <v>24785</v>
      </c>
      <c r="AB48" s="1">
        <v>25352</v>
      </c>
      <c r="AC48" s="1">
        <v>25884</v>
      </c>
    </row>
    <row r="49" spans="1:34" x14ac:dyDescent="0.35">
      <c r="A49" s="2" t="s">
        <v>65</v>
      </c>
      <c r="B49" s="2" t="s">
        <v>76</v>
      </c>
      <c r="C49" s="1">
        <v>28406</v>
      </c>
      <c r="D49" s="1">
        <v>31206</v>
      </c>
      <c r="E49" s="1">
        <v>31371</v>
      </c>
      <c r="F49" s="1">
        <v>30609</v>
      </c>
      <c r="G49" s="1">
        <v>31359</v>
      </c>
      <c r="H49" s="1">
        <v>32000</v>
      </c>
      <c r="I49" s="1">
        <v>33202</v>
      </c>
      <c r="J49" s="1">
        <v>33459</v>
      </c>
      <c r="K49" s="1">
        <v>36755</v>
      </c>
      <c r="L49" s="1">
        <v>37843</v>
      </c>
      <c r="M49" s="1">
        <v>39703</v>
      </c>
      <c r="N49" s="1">
        <v>40708</v>
      </c>
      <c r="O49" s="1">
        <v>40352</v>
      </c>
      <c r="P49" s="1">
        <v>40392</v>
      </c>
      <c r="Q49" s="1">
        <v>40512</v>
      </c>
      <c r="R49" s="1">
        <v>41039</v>
      </c>
      <c r="S49" s="1">
        <v>41954</v>
      </c>
      <c r="T49" s="1">
        <v>39127</v>
      </c>
      <c r="U49" s="1">
        <v>39270</v>
      </c>
      <c r="V49" s="1">
        <v>39917</v>
      </c>
      <c r="W49" s="1">
        <v>38778</v>
      </c>
      <c r="X49" s="1">
        <v>40391</v>
      </c>
      <c r="Y49" s="1">
        <v>40568</v>
      </c>
      <c r="Z49" s="1">
        <v>38830</v>
      </c>
      <c r="AA49" s="1">
        <v>38070</v>
      </c>
      <c r="AB49" s="1">
        <v>38526</v>
      </c>
      <c r="AC49" s="1">
        <v>39320</v>
      </c>
    </row>
    <row r="50" spans="1:34" x14ac:dyDescent="0.35">
      <c r="A50" s="2" t="s">
        <v>65</v>
      </c>
      <c r="B50" s="2" t="s">
        <v>77</v>
      </c>
      <c r="C50" s="1">
        <v>17698</v>
      </c>
      <c r="D50" s="1">
        <v>19350</v>
      </c>
      <c r="E50" s="1">
        <v>19000</v>
      </c>
      <c r="F50" s="1">
        <v>19837</v>
      </c>
      <c r="G50" s="1">
        <v>20055</v>
      </c>
      <c r="H50" s="1">
        <v>17983</v>
      </c>
      <c r="I50" s="1">
        <v>18003</v>
      </c>
      <c r="J50" s="1">
        <v>19238</v>
      </c>
      <c r="K50" s="1">
        <v>22809</v>
      </c>
      <c r="L50" s="1">
        <v>23148</v>
      </c>
      <c r="M50" s="1">
        <v>23602</v>
      </c>
      <c r="N50" s="1">
        <v>24713</v>
      </c>
      <c r="O50" s="1">
        <v>25316</v>
      </c>
      <c r="P50" s="1">
        <v>24080</v>
      </c>
      <c r="Q50" s="1">
        <v>25419</v>
      </c>
      <c r="R50" s="1">
        <v>26575</v>
      </c>
      <c r="S50" s="1">
        <v>26862</v>
      </c>
      <c r="T50" s="1">
        <v>21459</v>
      </c>
      <c r="U50" s="1">
        <v>20660</v>
      </c>
      <c r="V50" s="1">
        <v>21331</v>
      </c>
      <c r="W50" s="1">
        <v>21079</v>
      </c>
      <c r="X50" s="1">
        <v>21700</v>
      </c>
      <c r="Y50" s="1">
        <v>20357</v>
      </c>
      <c r="Z50" s="1">
        <v>23036</v>
      </c>
      <c r="AA50" s="1">
        <v>22739</v>
      </c>
      <c r="AB50" s="1">
        <v>21393</v>
      </c>
      <c r="AC50" s="1">
        <v>22383</v>
      </c>
    </row>
    <row r="51" spans="1:34" x14ac:dyDescent="0.35">
      <c r="A51" s="2" t="s">
        <v>65</v>
      </c>
      <c r="B51" s="2" t="s">
        <v>78</v>
      </c>
      <c r="C51" s="1">
        <v>12712</v>
      </c>
      <c r="D51" s="1">
        <v>13737</v>
      </c>
      <c r="E51" s="1">
        <v>13697</v>
      </c>
      <c r="F51" s="1">
        <v>14120</v>
      </c>
      <c r="G51" s="1">
        <v>15015</v>
      </c>
      <c r="H51" s="1">
        <v>14187</v>
      </c>
      <c r="I51" s="1">
        <v>13429</v>
      </c>
      <c r="J51" s="1">
        <v>14104</v>
      </c>
      <c r="K51" s="1">
        <v>15218</v>
      </c>
      <c r="L51" s="1">
        <v>16155</v>
      </c>
      <c r="M51" s="1">
        <v>17524</v>
      </c>
      <c r="N51" s="1">
        <v>17575</v>
      </c>
      <c r="O51" s="1">
        <v>17863</v>
      </c>
      <c r="P51" s="1">
        <v>17382</v>
      </c>
      <c r="Q51" s="1">
        <v>17549</v>
      </c>
      <c r="R51" s="1">
        <v>17462</v>
      </c>
      <c r="S51" s="1">
        <v>17627</v>
      </c>
      <c r="T51" s="1">
        <v>18545</v>
      </c>
      <c r="U51" s="1">
        <v>18181</v>
      </c>
      <c r="V51" s="1">
        <v>18419</v>
      </c>
      <c r="W51" s="1">
        <v>18562</v>
      </c>
      <c r="X51" s="1">
        <v>20055</v>
      </c>
      <c r="Y51" s="1">
        <v>19435</v>
      </c>
      <c r="Z51" s="1">
        <v>20601</v>
      </c>
      <c r="AA51" s="1">
        <v>20588</v>
      </c>
      <c r="AB51" s="1">
        <v>20663</v>
      </c>
      <c r="AC51" s="1">
        <v>21165</v>
      </c>
    </row>
    <row r="52" spans="1:34" x14ac:dyDescent="0.35">
      <c r="A52" s="2" t="s">
        <v>65</v>
      </c>
      <c r="B52" s="2" t="s">
        <v>79</v>
      </c>
      <c r="C52" s="1">
        <v>31174</v>
      </c>
      <c r="D52" s="1">
        <v>31364</v>
      </c>
      <c r="E52" s="1">
        <v>31072</v>
      </c>
      <c r="F52" s="1">
        <v>30041</v>
      </c>
      <c r="G52" s="1">
        <v>31414</v>
      </c>
      <c r="H52" s="1">
        <v>29718</v>
      </c>
      <c r="I52" s="1">
        <v>28888</v>
      </c>
      <c r="J52" s="1">
        <v>30356</v>
      </c>
      <c r="K52" s="1">
        <v>29400</v>
      </c>
      <c r="L52" s="1">
        <v>30578</v>
      </c>
      <c r="M52" s="1">
        <v>31241</v>
      </c>
      <c r="N52" s="1">
        <v>31652</v>
      </c>
      <c r="O52" s="1">
        <v>29999</v>
      </c>
      <c r="P52" s="1">
        <v>30917</v>
      </c>
      <c r="Q52" s="1">
        <v>33068</v>
      </c>
      <c r="R52" s="1">
        <v>34504</v>
      </c>
      <c r="S52" s="1">
        <v>35303</v>
      </c>
      <c r="T52" s="1">
        <v>37172</v>
      </c>
      <c r="U52" s="1">
        <v>37222</v>
      </c>
      <c r="V52" s="1">
        <v>36153</v>
      </c>
      <c r="W52" s="1">
        <v>35653</v>
      </c>
      <c r="X52" s="1">
        <v>37436</v>
      </c>
      <c r="Y52" s="1">
        <v>30546</v>
      </c>
      <c r="Z52" s="1">
        <v>32408</v>
      </c>
      <c r="AA52" s="1">
        <v>32854</v>
      </c>
      <c r="AB52" s="1">
        <v>31345</v>
      </c>
      <c r="AC52" s="1">
        <v>32014</v>
      </c>
    </row>
    <row r="53" spans="1:34" x14ac:dyDescent="0.35">
      <c r="A53" s="2" t="s">
        <v>80</v>
      </c>
      <c r="B53" s="2" t="s">
        <v>81</v>
      </c>
      <c r="C53" s="1">
        <v>237940</v>
      </c>
      <c r="D53" s="1">
        <v>263939</v>
      </c>
      <c r="E53" s="1">
        <v>263476</v>
      </c>
      <c r="F53" s="1">
        <v>232308</v>
      </c>
      <c r="G53" s="1">
        <v>242242</v>
      </c>
      <c r="H53" s="1">
        <v>255306</v>
      </c>
      <c r="I53" s="1">
        <v>259904</v>
      </c>
      <c r="J53" s="1">
        <v>282080</v>
      </c>
      <c r="K53" s="1">
        <v>306132</v>
      </c>
      <c r="L53" s="1">
        <v>341762</v>
      </c>
      <c r="M53" s="1">
        <v>385117</v>
      </c>
      <c r="N53" s="1">
        <v>430870</v>
      </c>
      <c r="O53" s="1">
        <v>473486</v>
      </c>
      <c r="P53" s="1">
        <v>491614</v>
      </c>
      <c r="Q53" s="1">
        <v>458514</v>
      </c>
      <c r="R53" s="1">
        <v>481140</v>
      </c>
      <c r="S53" s="1">
        <v>487445</v>
      </c>
      <c r="T53" s="1">
        <v>470177</v>
      </c>
      <c r="U53" s="1">
        <v>494859</v>
      </c>
      <c r="V53" s="1">
        <v>509968</v>
      </c>
      <c r="W53" s="1">
        <v>532759</v>
      </c>
      <c r="X53" s="1">
        <v>565535</v>
      </c>
      <c r="Y53" s="1">
        <v>578224</v>
      </c>
      <c r="Z53" s="1">
        <v>590360</v>
      </c>
      <c r="AA53" s="1">
        <v>602900</v>
      </c>
      <c r="AB53" s="1">
        <v>561980</v>
      </c>
      <c r="AC53" s="1">
        <v>600858</v>
      </c>
    </row>
    <row r="54" spans="1:34" x14ac:dyDescent="0.35">
      <c r="A54" s="2" t="s">
        <v>80</v>
      </c>
      <c r="B54" s="2" t="s">
        <v>82</v>
      </c>
      <c r="C54" s="1">
        <v>86292</v>
      </c>
      <c r="D54" s="1">
        <v>93081</v>
      </c>
      <c r="E54" s="1">
        <v>98972</v>
      </c>
      <c r="F54" s="1">
        <v>87341</v>
      </c>
      <c r="G54" s="1">
        <v>86802</v>
      </c>
      <c r="H54" s="1">
        <v>87927</v>
      </c>
      <c r="I54" s="1">
        <v>88054</v>
      </c>
      <c r="J54" s="1">
        <v>100060</v>
      </c>
      <c r="K54" s="1">
        <v>128751</v>
      </c>
      <c r="L54" s="1">
        <v>145997</v>
      </c>
      <c r="M54" s="1">
        <v>145107</v>
      </c>
      <c r="N54" s="1">
        <v>161306</v>
      </c>
      <c r="O54" s="1">
        <v>181866</v>
      </c>
      <c r="P54" s="1">
        <v>191294</v>
      </c>
      <c r="Q54" s="1">
        <v>168520</v>
      </c>
      <c r="R54" s="1">
        <v>201655</v>
      </c>
      <c r="S54" s="1">
        <v>206065</v>
      </c>
      <c r="T54" s="1">
        <v>268021</v>
      </c>
      <c r="U54" s="1">
        <v>250609</v>
      </c>
      <c r="V54" s="1">
        <v>247978</v>
      </c>
      <c r="W54" s="1">
        <v>241205</v>
      </c>
      <c r="X54" s="1">
        <v>254902</v>
      </c>
      <c r="Y54" s="1">
        <v>251683</v>
      </c>
      <c r="Z54" s="1">
        <v>282186</v>
      </c>
      <c r="AA54" s="1">
        <v>278107</v>
      </c>
      <c r="AB54" s="1">
        <v>244573</v>
      </c>
      <c r="AC54" s="1">
        <v>283475</v>
      </c>
    </row>
    <row r="55" spans="1:34" x14ac:dyDescent="0.35">
      <c r="A55" s="2" t="s">
        <v>80</v>
      </c>
      <c r="B55" s="2" t="s">
        <v>83</v>
      </c>
      <c r="C55" s="1">
        <v>183476</v>
      </c>
      <c r="D55" s="1">
        <v>206100</v>
      </c>
      <c r="E55" s="1">
        <v>233408</v>
      </c>
      <c r="F55" s="1">
        <v>221464</v>
      </c>
      <c r="G55" s="1">
        <v>216877</v>
      </c>
      <c r="H55" s="1">
        <v>248162</v>
      </c>
      <c r="I55" s="1">
        <v>249811</v>
      </c>
      <c r="J55" s="1">
        <v>289675</v>
      </c>
      <c r="K55" s="1">
        <v>304283</v>
      </c>
      <c r="L55" s="1">
        <v>327925</v>
      </c>
      <c r="M55" s="1">
        <v>352294</v>
      </c>
      <c r="N55" s="1">
        <v>371230</v>
      </c>
      <c r="O55" s="1">
        <v>393590</v>
      </c>
      <c r="P55" s="1">
        <v>388456</v>
      </c>
      <c r="Q55" s="1">
        <v>400749</v>
      </c>
      <c r="R55" s="1">
        <v>449112</v>
      </c>
      <c r="S55" s="1">
        <v>434212</v>
      </c>
      <c r="T55" s="1">
        <v>454137</v>
      </c>
      <c r="U55" s="1">
        <v>469372</v>
      </c>
      <c r="V55" s="1">
        <v>461274</v>
      </c>
      <c r="W55" s="1">
        <v>477569</v>
      </c>
      <c r="X55" s="1">
        <v>493228</v>
      </c>
      <c r="Y55" s="1">
        <v>521844</v>
      </c>
      <c r="Z55" s="1">
        <v>521125</v>
      </c>
      <c r="AA55" s="1">
        <v>519005</v>
      </c>
      <c r="AB55" s="1">
        <v>489914</v>
      </c>
      <c r="AC55" s="1">
        <v>496956</v>
      </c>
    </row>
    <row r="56" spans="1:34" x14ac:dyDescent="0.35">
      <c r="A56" s="2" t="s">
        <v>80</v>
      </c>
      <c r="B56" s="2" t="s">
        <v>84</v>
      </c>
      <c r="C56" s="1">
        <v>17010</v>
      </c>
      <c r="D56" s="1">
        <v>17320</v>
      </c>
      <c r="E56" s="1">
        <v>18009</v>
      </c>
      <c r="F56" s="1">
        <v>15721</v>
      </c>
      <c r="G56" s="1">
        <v>16308</v>
      </c>
      <c r="H56" s="1">
        <v>17684</v>
      </c>
      <c r="I56" s="1">
        <v>17109</v>
      </c>
      <c r="J56" s="1">
        <v>18733</v>
      </c>
      <c r="K56" s="1">
        <v>18299</v>
      </c>
      <c r="L56" s="1">
        <v>20760</v>
      </c>
      <c r="M56" s="1">
        <v>19784</v>
      </c>
      <c r="N56" s="1">
        <v>22631</v>
      </c>
      <c r="O56" s="1">
        <v>22989</v>
      </c>
      <c r="P56" s="1">
        <v>24246</v>
      </c>
      <c r="Q56" s="1">
        <v>22475</v>
      </c>
      <c r="R56" s="1">
        <v>25681</v>
      </c>
      <c r="S56" s="1">
        <v>26229</v>
      </c>
      <c r="T56" s="1">
        <v>25625</v>
      </c>
      <c r="U56" s="1">
        <v>24237</v>
      </c>
      <c r="V56" s="1">
        <v>24820</v>
      </c>
      <c r="W56" s="1">
        <v>24316</v>
      </c>
      <c r="X56" s="1">
        <v>22610</v>
      </c>
      <c r="Y56" s="1">
        <v>26272</v>
      </c>
      <c r="Z56" s="1">
        <v>24264</v>
      </c>
      <c r="AA56" s="1">
        <v>25349</v>
      </c>
      <c r="AB56" s="1">
        <v>26437</v>
      </c>
      <c r="AC56" s="1">
        <v>24986</v>
      </c>
    </row>
    <row r="57" spans="1:34" x14ac:dyDescent="0.35">
      <c r="A57" s="2" t="s">
        <v>80</v>
      </c>
      <c r="B57" s="2" t="s">
        <v>85</v>
      </c>
      <c r="C57" s="1">
        <v>36687</v>
      </c>
      <c r="D57" s="1">
        <v>39323</v>
      </c>
      <c r="E57" s="1">
        <v>38843</v>
      </c>
      <c r="F57" s="1">
        <v>33778</v>
      </c>
      <c r="G57" s="1">
        <v>35556</v>
      </c>
      <c r="H57" s="1">
        <v>39938</v>
      </c>
      <c r="I57" s="1">
        <v>40289</v>
      </c>
      <c r="J57" s="1">
        <v>41501</v>
      </c>
      <c r="K57" s="1">
        <v>42310</v>
      </c>
      <c r="L57" s="1">
        <v>41288</v>
      </c>
      <c r="M57" s="1">
        <v>41269</v>
      </c>
      <c r="N57" s="1">
        <v>43007</v>
      </c>
      <c r="O57" s="1">
        <v>44159</v>
      </c>
      <c r="P57" s="1">
        <v>46793</v>
      </c>
      <c r="Q57" s="1">
        <v>45014</v>
      </c>
      <c r="R57" s="1">
        <v>50403</v>
      </c>
      <c r="S57" s="1">
        <v>54308</v>
      </c>
      <c r="T57" s="1">
        <v>55616</v>
      </c>
      <c r="U57" s="1">
        <v>53861</v>
      </c>
      <c r="V57" s="1">
        <v>54023</v>
      </c>
      <c r="W57" s="1">
        <v>53348</v>
      </c>
      <c r="X57" s="1">
        <v>50992</v>
      </c>
      <c r="Y57" s="1">
        <v>59777</v>
      </c>
      <c r="Z57" s="1">
        <v>52768</v>
      </c>
      <c r="AA57" s="1">
        <v>55829</v>
      </c>
      <c r="AB57" s="1">
        <v>58915</v>
      </c>
      <c r="AC57" s="1">
        <v>58347</v>
      </c>
    </row>
    <row r="58" spans="1:34" x14ac:dyDescent="0.35">
      <c r="A58" s="2" t="s">
        <v>80</v>
      </c>
      <c r="B58" s="2" t="s">
        <v>86</v>
      </c>
      <c r="C58" s="1">
        <v>7345</v>
      </c>
      <c r="D58" s="1">
        <v>8099</v>
      </c>
      <c r="E58" s="1">
        <v>8231</v>
      </c>
      <c r="F58" s="1">
        <v>8552</v>
      </c>
      <c r="G58" s="1">
        <v>9339</v>
      </c>
      <c r="H58" s="1">
        <v>9685</v>
      </c>
      <c r="I58" s="1">
        <v>11105</v>
      </c>
      <c r="J58" s="1">
        <v>11566</v>
      </c>
      <c r="K58" s="1">
        <v>12379</v>
      </c>
      <c r="L58" s="1">
        <v>11777</v>
      </c>
      <c r="M58" s="1">
        <v>11898</v>
      </c>
      <c r="N58" s="1">
        <v>11744</v>
      </c>
      <c r="O58" s="1">
        <v>12308</v>
      </c>
      <c r="P58" s="1">
        <v>12281</v>
      </c>
      <c r="Q58" s="1">
        <v>12615</v>
      </c>
      <c r="R58" s="1">
        <v>13681</v>
      </c>
      <c r="S58" s="1">
        <v>14129</v>
      </c>
      <c r="T58" s="1">
        <v>15290</v>
      </c>
      <c r="U58" s="1">
        <v>15311</v>
      </c>
      <c r="V58" s="1">
        <v>14893</v>
      </c>
      <c r="W58" s="1">
        <v>15328</v>
      </c>
      <c r="X58" s="1">
        <v>15732</v>
      </c>
      <c r="Y58" s="1">
        <v>16219</v>
      </c>
      <c r="Z58" s="1">
        <v>18072</v>
      </c>
      <c r="AA58" s="1">
        <v>18302</v>
      </c>
      <c r="AB58" s="1">
        <v>18587</v>
      </c>
      <c r="AC58" s="1">
        <v>18009</v>
      </c>
    </row>
    <row r="59" spans="1:34" x14ac:dyDescent="0.35">
      <c r="A59" s="2" t="s">
        <v>80</v>
      </c>
      <c r="B59" s="2" t="s">
        <v>87</v>
      </c>
      <c r="C59" s="1">
        <v>32970</v>
      </c>
      <c r="D59" s="1">
        <v>34991</v>
      </c>
      <c r="E59" s="1">
        <v>47546</v>
      </c>
      <c r="F59" s="1">
        <v>44296</v>
      </c>
      <c r="G59" s="1">
        <v>41926</v>
      </c>
      <c r="H59" s="1">
        <v>45293</v>
      </c>
      <c r="I59" s="1">
        <v>43535</v>
      </c>
      <c r="J59" s="1">
        <v>67583</v>
      </c>
      <c r="K59" s="1">
        <v>85551</v>
      </c>
      <c r="L59" s="1">
        <v>96275</v>
      </c>
      <c r="M59" s="1">
        <v>108498</v>
      </c>
      <c r="N59" s="1">
        <v>120676</v>
      </c>
      <c r="O59" s="1">
        <v>150369</v>
      </c>
      <c r="P59" s="1">
        <v>167199</v>
      </c>
      <c r="Q59" s="1">
        <v>167652</v>
      </c>
      <c r="R59" s="1">
        <v>184418</v>
      </c>
      <c r="S59" s="1">
        <v>145848</v>
      </c>
      <c r="T59" s="1">
        <v>208268</v>
      </c>
      <c r="U59" s="1">
        <v>180417</v>
      </c>
      <c r="V59" s="1">
        <v>184119</v>
      </c>
      <c r="W59" s="1">
        <v>177569</v>
      </c>
      <c r="X59" s="1">
        <v>205188</v>
      </c>
      <c r="Y59" s="1">
        <v>251950</v>
      </c>
      <c r="Z59" s="1">
        <v>273399</v>
      </c>
      <c r="AA59" s="1">
        <v>300183</v>
      </c>
      <c r="AB59" s="1">
        <v>278204</v>
      </c>
      <c r="AC59" s="1">
        <v>271868</v>
      </c>
      <c r="AH59">
        <v>17010</v>
      </c>
    </row>
    <row r="60" spans="1:34" x14ac:dyDescent="0.35">
      <c r="A60" s="2" t="s">
        <v>80</v>
      </c>
      <c r="B60" s="2" t="s">
        <v>88</v>
      </c>
      <c r="C60" s="1">
        <v>11178</v>
      </c>
      <c r="D60" s="1">
        <v>12768</v>
      </c>
      <c r="E60" s="1">
        <v>12539</v>
      </c>
      <c r="F60" s="1">
        <v>12585</v>
      </c>
      <c r="G60" s="1">
        <v>12859</v>
      </c>
      <c r="H60" s="1">
        <v>13549</v>
      </c>
      <c r="I60" s="1">
        <v>13619</v>
      </c>
      <c r="J60" s="1">
        <v>14120</v>
      </c>
      <c r="K60" s="1">
        <v>15763</v>
      </c>
      <c r="L60" s="1">
        <v>15488</v>
      </c>
      <c r="M60" s="1">
        <v>16349</v>
      </c>
      <c r="N60" s="1">
        <v>17748</v>
      </c>
      <c r="O60" s="1">
        <v>19445</v>
      </c>
      <c r="P60" s="1">
        <v>18928</v>
      </c>
      <c r="Q60" s="1">
        <v>19379</v>
      </c>
      <c r="R60" s="1">
        <v>18756</v>
      </c>
      <c r="S60" s="1">
        <v>20397</v>
      </c>
      <c r="T60" s="1">
        <v>21949</v>
      </c>
      <c r="U60" s="1">
        <v>22408</v>
      </c>
      <c r="V60" s="1">
        <v>22954</v>
      </c>
      <c r="W60" s="1">
        <v>24148</v>
      </c>
      <c r="X60" s="1">
        <v>24908</v>
      </c>
      <c r="Y60" s="1">
        <v>26512</v>
      </c>
      <c r="Z60" s="1">
        <v>29571</v>
      </c>
      <c r="AA60" s="1">
        <v>29547</v>
      </c>
      <c r="AB60" s="1">
        <v>28225</v>
      </c>
      <c r="AC60" s="1">
        <v>29008</v>
      </c>
    </row>
    <row r="61" spans="1:34" x14ac:dyDescent="0.35">
      <c r="A61" s="2" t="s">
        <v>89</v>
      </c>
      <c r="B61" s="2" t="s">
        <v>90</v>
      </c>
      <c r="C61" s="1">
        <v>47846</v>
      </c>
      <c r="D61" s="1">
        <v>49796</v>
      </c>
      <c r="E61" s="1">
        <v>50391</v>
      </c>
      <c r="F61" s="1">
        <v>47063</v>
      </c>
      <c r="G61" s="1">
        <v>55085</v>
      </c>
      <c r="H61" s="1">
        <v>55238</v>
      </c>
      <c r="I61" s="1">
        <v>64302</v>
      </c>
      <c r="J61" s="1">
        <v>76730</v>
      </c>
      <c r="K61" s="1">
        <v>81188</v>
      </c>
      <c r="L61" s="1">
        <v>85070</v>
      </c>
      <c r="M61" s="1">
        <v>87108</v>
      </c>
      <c r="N61" s="1">
        <v>89052</v>
      </c>
      <c r="O61" s="1">
        <v>89135</v>
      </c>
      <c r="P61" s="1">
        <v>87495</v>
      </c>
      <c r="Q61" s="1">
        <v>90291</v>
      </c>
      <c r="R61" s="1">
        <v>96776</v>
      </c>
      <c r="S61" s="1">
        <v>98362</v>
      </c>
      <c r="T61" s="1">
        <v>100715</v>
      </c>
      <c r="U61" s="1">
        <v>96358</v>
      </c>
      <c r="V61" s="1">
        <v>99889</v>
      </c>
      <c r="W61" s="1">
        <v>103406</v>
      </c>
      <c r="X61" s="1">
        <v>104317</v>
      </c>
      <c r="Y61" s="1">
        <v>104553</v>
      </c>
      <c r="Z61" s="1">
        <v>105298</v>
      </c>
      <c r="AA61" s="1">
        <v>102672</v>
      </c>
      <c r="AB61" s="1">
        <v>96166</v>
      </c>
      <c r="AC61" s="1">
        <v>97458</v>
      </c>
    </row>
    <row r="62" spans="1:34" x14ac:dyDescent="0.35">
      <c r="A62" s="2" t="s">
        <v>89</v>
      </c>
      <c r="B62" s="2" t="s">
        <v>91</v>
      </c>
      <c r="C62" s="1">
        <v>44455</v>
      </c>
      <c r="D62" s="1">
        <v>47359</v>
      </c>
      <c r="E62" s="1">
        <v>44861</v>
      </c>
      <c r="F62" s="1">
        <v>39719</v>
      </c>
      <c r="G62" s="1">
        <v>43395</v>
      </c>
      <c r="H62" s="1">
        <v>39402</v>
      </c>
      <c r="I62" s="1">
        <v>37842</v>
      </c>
      <c r="J62" s="1">
        <v>42680</v>
      </c>
      <c r="K62" s="1">
        <v>44130</v>
      </c>
      <c r="L62" s="1">
        <v>43400</v>
      </c>
      <c r="M62" s="1">
        <v>43008</v>
      </c>
      <c r="N62" s="1">
        <v>45069</v>
      </c>
      <c r="O62" s="1">
        <v>50660</v>
      </c>
      <c r="P62" s="1">
        <v>49215</v>
      </c>
      <c r="Q62" s="1">
        <v>50604</v>
      </c>
      <c r="R62" s="1">
        <v>48555</v>
      </c>
      <c r="S62" s="1">
        <v>53089</v>
      </c>
      <c r="T62" s="1">
        <v>56334</v>
      </c>
      <c r="U62" s="1">
        <v>57567</v>
      </c>
      <c r="V62" s="1">
        <v>57978</v>
      </c>
      <c r="W62" s="1">
        <v>58240</v>
      </c>
      <c r="X62" s="1">
        <v>58790</v>
      </c>
      <c r="Y62" s="1">
        <v>60455</v>
      </c>
      <c r="Z62" s="1">
        <v>68048</v>
      </c>
      <c r="AA62" s="1">
        <v>68646</v>
      </c>
      <c r="AB62" s="1">
        <v>63407</v>
      </c>
      <c r="AC62" s="1">
        <v>64492</v>
      </c>
    </row>
    <row r="63" spans="1:34" x14ac:dyDescent="0.35">
      <c r="A63" s="2" t="s">
        <v>89</v>
      </c>
      <c r="B63" s="2" t="s">
        <v>92</v>
      </c>
      <c r="C63" s="1">
        <v>33145</v>
      </c>
      <c r="D63" s="1">
        <v>34400</v>
      </c>
      <c r="E63" s="1">
        <v>32288</v>
      </c>
      <c r="F63" s="1">
        <v>28149</v>
      </c>
      <c r="G63" s="1">
        <v>35712</v>
      </c>
      <c r="H63" s="1">
        <v>38672</v>
      </c>
      <c r="I63" s="1">
        <v>38014</v>
      </c>
      <c r="J63" s="1">
        <v>39683</v>
      </c>
      <c r="K63" s="1">
        <v>42016</v>
      </c>
      <c r="L63" s="1">
        <v>44564</v>
      </c>
      <c r="M63" s="1">
        <v>46741</v>
      </c>
      <c r="N63" s="1">
        <v>50481</v>
      </c>
      <c r="O63" s="1">
        <v>49980</v>
      </c>
      <c r="P63" s="1">
        <v>51816</v>
      </c>
      <c r="Q63" s="1">
        <v>49247</v>
      </c>
      <c r="R63" s="1">
        <v>51631</v>
      </c>
      <c r="S63" s="1">
        <v>54780</v>
      </c>
      <c r="T63" s="1">
        <v>55158</v>
      </c>
      <c r="U63" s="1">
        <v>56381</v>
      </c>
      <c r="V63" s="1">
        <v>56406</v>
      </c>
      <c r="W63" s="1">
        <v>57397</v>
      </c>
      <c r="X63" s="1">
        <v>59522</v>
      </c>
      <c r="Y63" s="1">
        <v>65442</v>
      </c>
      <c r="Z63" s="1">
        <v>68925</v>
      </c>
      <c r="AA63" s="1">
        <v>69440</v>
      </c>
      <c r="AB63" s="1">
        <v>63441</v>
      </c>
      <c r="AC63" s="1">
        <v>64648</v>
      </c>
    </row>
    <row r="64" spans="1:34" x14ac:dyDescent="0.35">
      <c r="A64" s="2" t="s">
        <v>89</v>
      </c>
      <c r="B64" s="2" t="s">
        <v>93</v>
      </c>
      <c r="C64" s="1">
        <v>21032</v>
      </c>
      <c r="D64" s="1">
        <v>22718</v>
      </c>
      <c r="E64" s="1">
        <v>23512</v>
      </c>
      <c r="F64" s="1">
        <v>24000</v>
      </c>
      <c r="G64" s="1">
        <v>29649</v>
      </c>
      <c r="H64" s="1">
        <v>31399</v>
      </c>
      <c r="I64" s="1">
        <v>29706</v>
      </c>
      <c r="J64" s="1">
        <v>30882</v>
      </c>
      <c r="K64" s="1">
        <v>31722</v>
      </c>
      <c r="L64" s="1">
        <v>34672</v>
      </c>
      <c r="M64" s="1">
        <v>35267</v>
      </c>
      <c r="N64" s="1">
        <v>36084</v>
      </c>
      <c r="O64" s="1">
        <v>37223</v>
      </c>
      <c r="P64" s="1">
        <v>36190</v>
      </c>
      <c r="Q64" s="1">
        <v>35973</v>
      </c>
      <c r="R64" s="1">
        <v>38005</v>
      </c>
      <c r="S64" s="1">
        <v>37015</v>
      </c>
      <c r="T64" s="1">
        <v>41006</v>
      </c>
      <c r="U64" s="1">
        <v>39821</v>
      </c>
      <c r="V64" s="1">
        <v>38429</v>
      </c>
      <c r="W64" s="1">
        <v>38596</v>
      </c>
      <c r="X64" s="1">
        <v>39218</v>
      </c>
      <c r="Y64" s="1">
        <v>42532</v>
      </c>
      <c r="Z64" s="1">
        <v>43344</v>
      </c>
      <c r="AA64" s="1">
        <v>45410</v>
      </c>
      <c r="AB64" s="1">
        <v>42980</v>
      </c>
      <c r="AC64" s="1">
        <v>43536</v>
      </c>
    </row>
    <row r="65" spans="1:29" x14ac:dyDescent="0.35">
      <c r="A65" s="2" t="s">
        <v>89</v>
      </c>
      <c r="B65" s="2" t="s">
        <v>94</v>
      </c>
      <c r="C65" s="1">
        <v>29604</v>
      </c>
      <c r="D65" s="1">
        <v>34786</v>
      </c>
      <c r="E65" s="1">
        <v>33717</v>
      </c>
      <c r="F65" s="1">
        <v>33031</v>
      </c>
      <c r="G65" s="1">
        <v>34665</v>
      </c>
      <c r="H65" s="1">
        <v>35055</v>
      </c>
      <c r="I65" s="1">
        <v>34286</v>
      </c>
      <c r="J65" s="1">
        <v>35079</v>
      </c>
      <c r="K65" s="1">
        <v>39185</v>
      </c>
      <c r="L65" s="1">
        <v>39463</v>
      </c>
      <c r="M65" s="1">
        <v>38430</v>
      </c>
      <c r="N65" s="1">
        <v>39892</v>
      </c>
      <c r="O65" s="1">
        <v>41215</v>
      </c>
      <c r="P65" s="1">
        <v>42737</v>
      </c>
      <c r="Q65" s="1">
        <v>42680</v>
      </c>
      <c r="R65" s="1">
        <v>39745</v>
      </c>
      <c r="S65" s="1">
        <v>45405</v>
      </c>
      <c r="T65" s="1">
        <v>48806</v>
      </c>
      <c r="U65" s="1">
        <v>47155</v>
      </c>
      <c r="V65" s="1">
        <v>46968</v>
      </c>
      <c r="W65" s="1">
        <v>49387</v>
      </c>
      <c r="X65" s="1">
        <v>46365</v>
      </c>
      <c r="Y65" s="1">
        <v>48895</v>
      </c>
      <c r="Z65" s="1">
        <v>52610</v>
      </c>
      <c r="AA65" s="1">
        <v>51809</v>
      </c>
      <c r="AB65" s="1">
        <v>48833</v>
      </c>
      <c r="AC65" s="1">
        <v>49839</v>
      </c>
    </row>
    <row r="66" spans="1:29" x14ac:dyDescent="0.35">
      <c r="A66" s="2" t="s">
        <v>89</v>
      </c>
      <c r="B66" s="2" t="s">
        <v>95</v>
      </c>
      <c r="C66" s="1">
        <v>10457</v>
      </c>
      <c r="D66" s="1">
        <v>11158</v>
      </c>
      <c r="E66" s="1">
        <v>10893</v>
      </c>
      <c r="F66" s="1">
        <v>9848</v>
      </c>
      <c r="G66" s="1">
        <v>9337</v>
      </c>
      <c r="H66" s="1">
        <v>10354</v>
      </c>
      <c r="I66" s="1">
        <v>11696</v>
      </c>
      <c r="J66" s="1">
        <v>9547</v>
      </c>
      <c r="K66" s="1">
        <v>10321</v>
      </c>
      <c r="L66" s="1">
        <v>11006</v>
      </c>
      <c r="M66" s="1">
        <v>12180</v>
      </c>
      <c r="N66" s="1">
        <v>13046</v>
      </c>
      <c r="O66" s="1">
        <v>12466</v>
      </c>
      <c r="P66" s="1">
        <v>12653</v>
      </c>
      <c r="Q66" s="1">
        <v>12453</v>
      </c>
      <c r="R66" s="1">
        <v>11964</v>
      </c>
      <c r="S66" s="1">
        <v>12322</v>
      </c>
      <c r="T66" s="1">
        <v>11843</v>
      </c>
      <c r="U66" s="1">
        <v>11829</v>
      </c>
      <c r="V66" s="1">
        <v>12305</v>
      </c>
      <c r="W66" s="1">
        <v>12535</v>
      </c>
      <c r="X66" s="1">
        <v>12607</v>
      </c>
      <c r="Y66" s="1">
        <v>14833</v>
      </c>
      <c r="Z66" s="1">
        <v>15474</v>
      </c>
      <c r="AA66" s="1">
        <v>16023</v>
      </c>
      <c r="AB66" s="1">
        <v>16104</v>
      </c>
      <c r="AC66" s="1">
        <v>16860</v>
      </c>
    </row>
    <row r="67" spans="1:29" x14ac:dyDescent="0.35">
      <c r="A67" s="2" t="s">
        <v>96</v>
      </c>
      <c r="B67" s="2" t="s">
        <v>97</v>
      </c>
      <c r="C67" s="1">
        <v>79020</v>
      </c>
      <c r="D67" s="1">
        <v>85258</v>
      </c>
      <c r="E67" s="1">
        <v>82438</v>
      </c>
      <c r="F67" s="1">
        <v>71764</v>
      </c>
      <c r="G67" s="1">
        <v>70699</v>
      </c>
      <c r="H67" s="1">
        <v>71848</v>
      </c>
      <c r="I67" s="1">
        <v>75434</v>
      </c>
      <c r="J67" s="1">
        <v>88339</v>
      </c>
      <c r="K67" s="1">
        <v>95648</v>
      </c>
      <c r="L67" s="1">
        <v>105159</v>
      </c>
      <c r="M67" s="1">
        <v>114056</v>
      </c>
      <c r="N67" s="1">
        <v>117840</v>
      </c>
      <c r="O67" s="1">
        <v>119150</v>
      </c>
      <c r="P67" s="1">
        <v>122202</v>
      </c>
      <c r="Q67" s="1">
        <v>131264</v>
      </c>
      <c r="R67" s="1">
        <v>137151</v>
      </c>
      <c r="S67" s="1">
        <v>135372</v>
      </c>
      <c r="T67" s="1">
        <v>148857</v>
      </c>
      <c r="U67" s="1">
        <v>146764</v>
      </c>
      <c r="V67" s="1">
        <v>149657</v>
      </c>
      <c r="W67" s="1">
        <v>151436</v>
      </c>
      <c r="X67" s="1">
        <v>156814</v>
      </c>
      <c r="Y67" s="1">
        <v>155160</v>
      </c>
      <c r="Z67" s="1">
        <v>159958</v>
      </c>
      <c r="AA67" s="1">
        <v>159799</v>
      </c>
      <c r="AB67" s="1">
        <v>151412</v>
      </c>
      <c r="AC67" s="1">
        <v>153891</v>
      </c>
    </row>
    <row r="68" spans="1:29" x14ac:dyDescent="0.35">
      <c r="A68" s="2" t="s">
        <v>96</v>
      </c>
      <c r="B68" s="2" t="s">
        <v>98</v>
      </c>
      <c r="C68" s="1">
        <v>11491</v>
      </c>
      <c r="D68" s="1">
        <v>12189</v>
      </c>
      <c r="E68" s="1">
        <v>12113</v>
      </c>
      <c r="F68" s="1">
        <v>11742</v>
      </c>
      <c r="G68" s="1">
        <v>11368</v>
      </c>
      <c r="H68" s="1">
        <v>12509</v>
      </c>
      <c r="I68" s="1">
        <v>12369</v>
      </c>
      <c r="J68" s="1">
        <v>12760</v>
      </c>
      <c r="K68" s="1">
        <v>14275</v>
      </c>
      <c r="L68" s="1">
        <v>14635</v>
      </c>
      <c r="M68" s="1">
        <v>14947</v>
      </c>
      <c r="N68" s="1">
        <v>15263</v>
      </c>
      <c r="O68" s="1">
        <v>16211</v>
      </c>
      <c r="P68" s="1">
        <v>16156</v>
      </c>
      <c r="Q68" s="1">
        <v>16883</v>
      </c>
      <c r="R68" s="1">
        <v>16511</v>
      </c>
      <c r="S68" s="1">
        <v>17008</v>
      </c>
      <c r="T68" s="1">
        <v>18069</v>
      </c>
      <c r="U68" s="1">
        <v>17460</v>
      </c>
      <c r="V68" s="1">
        <v>16391</v>
      </c>
      <c r="W68" s="1">
        <v>15506</v>
      </c>
      <c r="X68" s="1">
        <v>15547</v>
      </c>
      <c r="Y68" s="1">
        <v>16219</v>
      </c>
      <c r="Z68" s="1">
        <v>16854</v>
      </c>
      <c r="AA68" s="1">
        <v>16717</v>
      </c>
      <c r="AB68" s="1">
        <v>15455</v>
      </c>
      <c r="AC68" s="1">
        <v>15615</v>
      </c>
    </row>
    <row r="69" spans="1:29" x14ac:dyDescent="0.35">
      <c r="A69" s="2" t="s">
        <v>96</v>
      </c>
      <c r="B69" s="2" t="s">
        <v>99</v>
      </c>
      <c r="C69" s="1">
        <v>15775</v>
      </c>
      <c r="D69" s="1">
        <v>16464</v>
      </c>
      <c r="E69" s="1">
        <v>16246</v>
      </c>
      <c r="F69" s="1">
        <v>15400</v>
      </c>
      <c r="G69" s="1">
        <v>15365</v>
      </c>
      <c r="H69" s="1">
        <v>15879</v>
      </c>
      <c r="I69" s="1">
        <v>16534</v>
      </c>
      <c r="J69" s="1">
        <v>16669</v>
      </c>
      <c r="K69" s="1">
        <v>16789</v>
      </c>
      <c r="L69" s="1">
        <v>16194</v>
      </c>
      <c r="M69" s="1">
        <v>16477</v>
      </c>
      <c r="N69" s="1">
        <v>15616</v>
      </c>
      <c r="O69" s="1">
        <v>16106</v>
      </c>
      <c r="P69" s="1">
        <v>16921</v>
      </c>
      <c r="Q69" s="1">
        <v>16292</v>
      </c>
      <c r="R69" s="1">
        <v>15371</v>
      </c>
      <c r="S69" s="1">
        <v>16623</v>
      </c>
      <c r="T69" s="1">
        <v>20456</v>
      </c>
      <c r="U69" s="1">
        <v>19896</v>
      </c>
      <c r="V69" s="1">
        <v>18494</v>
      </c>
      <c r="W69" s="1">
        <v>16731</v>
      </c>
      <c r="X69" s="1">
        <v>16754</v>
      </c>
      <c r="Y69" s="1">
        <v>18923</v>
      </c>
      <c r="Z69" s="1">
        <v>20402</v>
      </c>
      <c r="AA69" s="1">
        <v>20807</v>
      </c>
      <c r="AB69" s="1">
        <v>19738</v>
      </c>
      <c r="AC69" s="1">
        <v>20915</v>
      </c>
    </row>
    <row r="70" spans="1:29" x14ac:dyDescent="0.35">
      <c r="A70" s="2" t="s">
        <v>96</v>
      </c>
      <c r="B70" s="2" t="s">
        <v>100</v>
      </c>
      <c r="C70" s="1">
        <v>11999</v>
      </c>
      <c r="D70" s="1">
        <v>13110</v>
      </c>
      <c r="E70" s="1">
        <v>13068</v>
      </c>
      <c r="F70" s="1">
        <v>12904</v>
      </c>
      <c r="G70" s="1">
        <v>12324</v>
      </c>
      <c r="H70" s="1">
        <v>12143</v>
      </c>
      <c r="I70" s="1">
        <v>12024</v>
      </c>
      <c r="J70" s="1">
        <v>12800</v>
      </c>
      <c r="K70" s="1">
        <v>13902</v>
      </c>
      <c r="L70" s="1">
        <v>14273</v>
      </c>
      <c r="M70" s="1">
        <v>14400</v>
      </c>
      <c r="N70" s="1">
        <v>14750</v>
      </c>
      <c r="O70" s="1">
        <v>14909</v>
      </c>
      <c r="P70" s="1">
        <v>15053</v>
      </c>
      <c r="Q70" s="1">
        <v>14384</v>
      </c>
      <c r="R70" s="1">
        <v>13102</v>
      </c>
      <c r="S70" s="1">
        <v>14354</v>
      </c>
      <c r="T70" s="1">
        <v>17867</v>
      </c>
      <c r="U70" s="1">
        <v>16487</v>
      </c>
      <c r="V70" s="1">
        <v>16125</v>
      </c>
      <c r="W70" s="1">
        <v>15919</v>
      </c>
      <c r="X70" s="1">
        <v>16569</v>
      </c>
      <c r="Y70" s="1">
        <v>18036</v>
      </c>
      <c r="Z70" s="1">
        <v>19022</v>
      </c>
      <c r="AA70" s="1">
        <v>19009</v>
      </c>
      <c r="AB70" s="1">
        <v>18181</v>
      </c>
      <c r="AC70" s="1">
        <v>17768</v>
      </c>
    </row>
    <row r="71" spans="1:29" x14ac:dyDescent="0.35">
      <c r="A71" s="2" t="s">
        <v>96</v>
      </c>
      <c r="B71" s="2" t="s">
        <v>101</v>
      </c>
      <c r="C71" s="1">
        <v>35433</v>
      </c>
      <c r="D71" s="1">
        <v>41612</v>
      </c>
      <c r="E71" s="1">
        <v>39841</v>
      </c>
      <c r="F71" s="1">
        <v>36514</v>
      </c>
      <c r="G71" s="1">
        <v>34976</v>
      </c>
      <c r="H71" s="1">
        <v>37649</v>
      </c>
      <c r="I71" s="1">
        <v>41195</v>
      </c>
      <c r="J71" s="1">
        <v>46761</v>
      </c>
      <c r="K71" s="1">
        <v>48382</v>
      </c>
      <c r="L71" s="1">
        <v>47038</v>
      </c>
      <c r="M71" s="1">
        <v>49425</v>
      </c>
      <c r="N71" s="1">
        <v>47495</v>
      </c>
      <c r="O71" s="1">
        <v>45507</v>
      </c>
      <c r="P71" s="1">
        <v>45640</v>
      </c>
      <c r="Q71" s="1">
        <v>48884</v>
      </c>
      <c r="R71" s="1">
        <v>48323</v>
      </c>
      <c r="S71" s="1">
        <v>50838</v>
      </c>
      <c r="T71" s="1">
        <v>60409</v>
      </c>
      <c r="U71" s="1">
        <v>60200</v>
      </c>
      <c r="V71" s="1">
        <v>60247</v>
      </c>
      <c r="W71" s="1">
        <v>58638</v>
      </c>
      <c r="X71" s="1">
        <v>60131</v>
      </c>
      <c r="Y71" s="1">
        <v>64215</v>
      </c>
      <c r="Z71" s="1">
        <v>64515</v>
      </c>
      <c r="AA71" s="1">
        <v>65121</v>
      </c>
      <c r="AB71" s="1">
        <v>61104</v>
      </c>
      <c r="AC71" s="1">
        <v>62435</v>
      </c>
    </row>
    <row r="72" spans="1:29" x14ac:dyDescent="0.35">
      <c r="A72" s="2" t="s">
        <v>96</v>
      </c>
      <c r="B72" s="2" t="s">
        <v>102</v>
      </c>
      <c r="C72" s="1">
        <v>122451</v>
      </c>
      <c r="D72" s="1">
        <v>143357</v>
      </c>
      <c r="E72" s="1">
        <v>147680</v>
      </c>
      <c r="F72" s="1">
        <v>136495</v>
      </c>
      <c r="G72" s="1">
        <v>147719</v>
      </c>
      <c r="H72" s="1">
        <v>167697</v>
      </c>
      <c r="I72" s="1">
        <v>171803</v>
      </c>
      <c r="J72" s="1">
        <v>177937</v>
      </c>
      <c r="K72" s="1">
        <v>198840</v>
      </c>
      <c r="L72" s="1">
        <v>212358</v>
      </c>
      <c r="M72" s="1">
        <v>206343</v>
      </c>
      <c r="N72" s="1">
        <v>223435</v>
      </c>
      <c r="O72" s="1">
        <v>254340</v>
      </c>
      <c r="P72" s="1">
        <v>320867</v>
      </c>
      <c r="Q72" s="1">
        <v>277262</v>
      </c>
      <c r="R72" s="1">
        <v>314899</v>
      </c>
      <c r="S72" s="1">
        <v>269311</v>
      </c>
      <c r="T72" s="1">
        <v>272410</v>
      </c>
      <c r="U72" s="1">
        <v>327898</v>
      </c>
      <c r="V72" s="1">
        <v>285784</v>
      </c>
      <c r="W72" s="1">
        <v>320034</v>
      </c>
      <c r="X72" s="1">
        <v>309266</v>
      </c>
      <c r="Y72" s="1">
        <v>310515</v>
      </c>
      <c r="Z72" s="1">
        <v>315678</v>
      </c>
      <c r="AA72" s="1">
        <v>305805</v>
      </c>
      <c r="AB72" s="1">
        <v>298448</v>
      </c>
      <c r="AC72" s="1">
        <v>321586</v>
      </c>
    </row>
    <row r="73" spans="1:29" x14ac:dyDescent="0.35">
      <c r="A73" s="2" t="s">
        <v>103</v>
      </c>
      <c r="B73" s="2" t="s">
        <v>112</v>
      </c>
      <c r="C73" s="1">
        <v>1963319</v>
      </c>
      <c r="D73" s="1">
        <v>2018418</v>
      </c>
      <c r="E73" s="1">
        <v>1840461</v>
      </c>
      <c r="F73" s="1">
        <v>1665879</v>
      </c>
      <c r="G73" s="1">
        <v>1710516</v>
      </c>
      <c r="H73" s="1">
        <v>1832319</v>
      </c>
      <c r="I73" s="1">
        <v>1930392</v>
      </c>
      <c r="J73" s="1">
        <v>2004881</v>
      </c>
      <c r="K73" s="1">
        <v>2108506</v>
      </c>
      <c r="L73" s="1">
        <v>2256393</v>
      </c>
      <c r="M73" s="1">
        <v>2371938</v>
      </c>
      <c r="N73" s="1">
        <v>2441511</v>
      </c>
      <c r="O73" s="1">
        <v>2500811</v>
      </c>
      <c r="P73" s="1">
        <v>2505583</v>
      </c>
      <c r="Q73" s="1">
        <v>2469889</v>
      </c>
      <c r="R73" s="1">
        <v>2596144</v>
      </c>
      <c r="S73" s="1">
        <v>2722999</v>
      </c>
      <c r="T73" s="1">
        <v>2912579</v>
      </c>
      <c r="U73" s="1">
        <v>3098082</v>
      </c>
      <c r="V73" s="1">
        <v>3211833</v>
      </c>
      <c r="W73" s="1">
        <v>3356196</v>
      </c>
      <c r="X73" s="1">
        <v>3503634</v>
      </c>
      <c r="Y73" s="1">
        <v>3651844</v>
      </c>
      <c r="Z73" s="1">
        <v>3838230</v>
      </c>
      <c r="AA73" s="1">
        <v>3999343</v>
      </c>
      <c r="AB73" s="1">
        <v>3749759</v>
      </c>
      <c r="AC73" s="1">
        <v>3763549</v>
      </c>
    </row>
    <row r="74" spans="1:29" x14ac:dyDescent="0.35">
      <c r="A74" s="2" t="s">
        <v>103</v>
      </c>
      <c r="B74" s="2" t="s">
        <v>104</v>
      </c>
      <c r="C74" s="1">
        <v>242042</v>
      </c>
      <c r="D74" s="1">
        <v>250847</v>
      </c>
      <c r="E74" s="1">
        <v>246029</v>
      </c>
      <c r="F74" s="1">
        <v>267054</v>
      </c>
      <c r="G74" s="1">
        <v>292347</v>
      </c>
      <c r="H74" s="1">
        <v>307866</v>
      </c>
      <c r="I74" s="1">
        <v>328257</v>
      </c>
      <c r="J74" s="1">
        <v>355401</v>
      </c>
      <c r="K74" s="1">
        <v>358539</v>
      </c>
      <c r="L74" s="1">
        <v>373446</v>
      </c>
      <c r="M74" s="1">
        <v>382410</v>
      </c>
      <c r="N74" s="1">
        <v>408667</v>
      </c>
      <c r="O74" s="1">
        <v>512084</v>
      </c>
      <c r="P74" s="1">
        <v>503340</v>
      </c>
      <c r="Q74" s="1">
        <v>454572</v>
      </c>
      <c r="R74" s="1">
        <v>561490</v>
      </c>
      <c r="S74" s="1">
        <v>500983</v>
      </c>
      <c r="T74" s="1">
        <v>578427</v>
      </c>
      <c r="U74" s="1">
        <v>540909</v>
      </c>
      <c r="V74" s="1">
        <v>537007</v>
      </c>
      <c r="W74" s="1">
        <v>548898</v>
      </c>
      <c r="X74" s="1">
        <v>551400</v>
      </c>
      <c r="Y74" s="1">
        <v>571399</v>
      </c>
      <c r="Z74" s="1">
        <v>616458</v>
      </c>
      <c r="AA74" s="1">
        <v>603916</v>
      </c>
      <c r="AB74" s="1">
        <v>502770</v>
      </c>
      <c r="AC74" s="1">
        <v>504885</v>
      </c>
    </row>
    <row r="75" spans="1:29" x14ac:dyDescent="0.35">
      <c r="A75" s="2" t="s">
        <v>103</v>
      </c>
      <c r="B75" s="2" t="s">
        <v>105</v>
      </c>
      <c r="C75" s="1">
        <v>205674</v>
      </c>
      <c r="D75" s="1">
        <v>212632</v>
      </c>
      <c r="E75" s="1">
        <v>210380</v>
      </c>
      <c r="F75" s="1">
        <v>150525</v>
      </c>
      <c r="G75" s="1">
        <v>177495</v>
      </c>
      <c r="H75" s="1">
        <v>172483</v>
      </c>
      <c r="I75" s="1">
        <v>177808</v>
      </c>
      <c r="J75" s="1">
        <v>160244</v>
      </c>
      <c r="K75" s="1">
        <v>173277</v>
      </c>
      <c r="L75" s="1">
        <v>193460</v>
      </c>
      <c r="M75" s="1">
        <v>196296</v>
      </c>
      <c r="N75" s="1">
        <v>212797</v>
      </c>
      <c r="O75" s="1">
        <v>214874</v>
      </c>
      <c r="P75" s="1">
        <v>237400</v>
      </c>
      <c r="Q75" s="1">
        <v>256505</v>
      </c>
      <c r="R75" s="1">
        <v>289062</v>
      </c>
      <c r="S75" s="1">
        <v>243659</v>
      </c>
      <c r="T75" s="1">
        <v>234208</v>
      </c>
      <c r="U75" s="1">
        <v>239883</v>
      </c>
      <c r="V75" s="1">
        <v>244092</v>
      </c>
      <c r="W75" s="1">
        <v>252514</v>
      </c>
      <c r="X75" s="1">
        <v>254140</v>
      </c>
      <c r="Y75" s="1">
        <v>280179</v>
      </c>
      <c r="Z75" s="1">
        <v>291468</v>
      </c>
      <c r="AA75" s="1">
        <v>312627</v>
      </c>
      <c r="AB75" s="1">
        <v>297689</v>
      </c>
      <c r="AC75" s="1">
        <v>295322</v>
      </c>
    </row>
    <row r="76" spans="1:29" x14ac:dyDescent="0.35">
      <c r="A76" s="2" t="s">
        <v>103</v>
      </c>
      <c r="B76" s="2" t="s">
        <v>106</v>
      </c>
      <c r="C76" s="1">
        <v>144901</v>
      </c>
      <c r="D76" s="1">
        <v>148100</v>
      </c>
      <c r="E76" s="1">
        <v>151566</v>
      </c>
      <c r="F76" s="1">
        <v>126143</v>
      </c>
      <c r="G76" s="1">
        <v>128835</v>
      </c>
      <c r="H76" s="1">
        <v>140872</v>
      </c>
      <c r="I76" s="1">
        <v>151378</v>
      </c>
      <c r="J76" s="1">
        <v>163692</v>
      </c>
      <c r="K76" s="1">
        <v>190601</v>
      </c>
      <c r="L76" s="1">
        <v>203761</v>
      </c>
      <c r="M76" s="1">
        <v>204250</v>
      </c>
      <c r="N76" s="1">
        <v>215940</v>
      </c>
      <c r="O76" s="1">
        <v>226990</v>
      </c>
      <c r="P76" s="1">
        <v>234394</v>
      </c>
      <c r="Q76" s="1">
        <v>236152</v>
      </c>
      <c r="R76" s="1">
        <v>262941</v>
      </c>
      <c r="S76" s="1">
        <v>256516</v>
      </c>
      <c r="T76" s="1">
        <v>258471</v>
      </c>
      <c r="U76" s="1">
        <v>253848</v>
      </c>
      <c r="V76" s="1">
        <v>260854</v>
      </c>
      <c r="W76" s="1">
        <v>258426</v>
      </c>
      <c r="X76" s="1">
        <v>263544</v>
      </c>
      <c r="Y76" s="1">
        <v>277018</v>
      </c>
      <c r="Z76" s="1">
        <v>287145</v>
      </c>
      <c r="AA76" s="1">
        <v>296260</v>
      </c>
      <c r="AB76" s="1">
        <v>295924</v>
      </c>
      <c r="AC76" s="1">
        <v>299129</v>
      </c>
    </row>
    <row r="77" spans="1:29" x14ac:dyDescent="0.35">
      <c r="A77" s="2" t="s">
        <v>103</v>
      </c>
      <c r="B77" s="2" t="s">
        <v>107</v>
      </c>
      <c r="C77" s="1">
        <v>99841</v>
      </c>
      <c r="D77" s="1">
        <v>101557</v>
      </c>
      <c r="E77" s="1">
        <v>101440</v>
      </c>
      <c r="F77" s="1">
        <v>87505</v>
      </c>
      <c r="G77" s="1">
        <v>92440</v>
      </c>
      <c r="H77" s="1">
        <v>96873</v>
      </c>
      <c r="I77" s="1">
        <v>99887</v>
      </c>
      <c r="J77" s="1">
        <v>102260</v>
      </c>
      <c r="K77" s="1">
        <v>114586</v>
      </c>
      <c r="L77" s="1">
        <v>119619</v>
      </c>
      <c r="M77" s="1">
        <v>126024</v>
      </c>
      <c r="N77" s="1">
        <v>136008</v>
      </c>
      <c r="O77" s="1">
        <v>127397</v>
      </c>
      <c r="P77" s="1">
        <v>125746</v>
      </c>
      <c r="Q77" s="1">
        <v>123598</v>
      </c>
      <c r="R77" s="1">
        <v>136363</v>
      </c>
      <c r="S77" s="1">
        <v>149651</v>
      </c>
      <c r="T77" s="1">
        <v>172580</v>
      </c>
      <c r="U77" s="1">
        <v>188018</v>
      </c>
      <c r="V77" s="1">
        <v>198720</v>
      </c>
      <c r="W77" s="1">
        <v>210975</v>
      </c>
      <c r="X77" s="1">
        <v>217834</v>
      </c>
      <c r="Y77" s="1">
        <v>224312</v>
      </c>
      <c r="Z77" s="1">
        <v>232815</v>
      </c>
      <c r="AA77" s="1">
        <v>235750</v>
      </c>
      <c r="AB77" s="1">
        <v>229706</v>
      </c>
      <c r="AC77" s="1">
        <v>237317</v>
      </c>
    </row>
    <row r="78" spans="1:29" x14ac:dyDescent="0.35">
      <c r="A78" s="2" t="s">
        <v>103</v>
      </c>
      <c r="B78" s="2" t="s">
        <v>108</v>
      </c>
      <c r="C78" s="1">
        <v>73893</v>
      </c>
      <c r="D78" s="1">
        <v>74370</v>
      </c>
      <c r="E78" s="1">
        <v>72867</v>
      </c>
      <c r="F78" s="1">
        <v>75780</v>
      </c>
      <c r="G78" s="1">
        <v>73111</v>
      </c>
      <c r="H78" s="1">
        <v>75593</v>
      </c>
      <c r="I78" s="1">
        <v>79500</v>
      </c>
      <c r="J78" s="1">
        <v>84586</v>
      </c>
      <c r="K78" s="1">
        <v>90235</v>
      </c>
      <c r="L78" s="1">
        <v>97968</v>
      </c>
      <c r="M78" s="1">
        <v>110042</v>
      </c>
      <c r="N78" s="1">
        <v>120028</v>
      </c>
      <c r="O78" s="1">
        <v>127032</v>
      </c>
      <c r="P78" s="1">
        <v>130684</v>
      </c>
      <c r="Q78" s="1">
        <v>137612</v>
      </c>
      <c r="R78" s="1">
        <v>147424</v>
      </c>
      <c r="S78" s="1">
        <v>143433</v>
      </c>
      <c r="T78" s="1">
        <v>157544</v>
      </c>
      <c r="U78" s="1">
        <v>171521</v>
      </c>
      <c r="V78" s="1">
        <v>190508</v>
      </c>
      <c r="W78" s="1">
        <v>202227</v>
      </c>
      <c r="X78" s="1">
        <v>210561</v>
      </c>
      <c r="Y78" s="1">
        <v>227811</v>
      </c>
      <c r="Z78" s="1">
        <v>231039</v>
      </c>
      <c r="AA78" s="1">
        <v>245207</v>
      </c>
      <c r="AB78" s="1">
        <v>244091</v>
      </c>
      <c r="AC78" s="1">
        <v>244519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F6C2-4609-4A1D-AD65-AF19A5E2AADA}">
  <sheetPr filterMode="1"/>
  <dimension ref="A1:N617"/>
  <sheetViews>
    <sheetView tabSelected="1" workbookViewId="0">
      <selection activeCell="J2" sqref="J2"/>
    </sheetView>
  </sheetViews>
  <sheetFormatPr defaultRowHeight="13" x14ac:dyDescent="0.3"/>
  <cols>
    <col min="1" max="1" width="7.453125" style="10" customWidth="1"/>
    <col min="2" max="2" width="8.7265625" style="10"/>
    <col min="3" max="3" width="9.26953125" style="10" customWidth="1"/>
    <col min="4" max="4" width="21" style="10" customWidth="1"/>
    <col min="5" max="5" width="6.26953125" style="11" customWidth="1"/>
    <col min="6" max="6" width="12.08984375" style="12" customWidth="1"/>
    <col min="7" max="7" width="9.26953125" style="12" customWidth="1"/>
    <col min="8" max="8" width="10.90625" style="3" customWidth="1"/>
    <col min="9" max="9" width="14.7265625" style="3" customWidth="1"/>
    <col min="10" max="10" width="11.36328125" style="3" customWidth="1"/>
    <col min="11" max="11" width="9.54296875" style="3" bestFit="1" customWidth="1"/>
    <col min="12" max="12" width="8.81640625" style="3" bestFit="1" customWidth="1"/>
    <col min="13" max="13" width="13.36328125" style="10" customWidth="1"/>
    <col min="14" max="14" width="12.1796875" style="10" customWidth="1"/>
    <col min="15" max="16384" width="8.7265625" style="10"/>
  </cols>
  <sheetData>
    <row r="1" spans="1:14" x14ac:dyDescent="0.3">
      <c r="A1" s="5" t="s">
        <v>114</v>
      </c>
      <c r="B1" s="5" t="s">
        <v>115</v>
      </c>
      <c r="C1" s="5" t="s">
        <v>0</v>
      </c>
      <c r="D1" s="5" t="s">
        <v>1</v>
      </c>
      <c r="E1" s="6" t="s">
        <v>113</v>
      </c>
      <c r="F1" s="7" t="s">
        <v>117</v>
      </c>
      <c r="G1" s="7" t="s">
        <v>118</v>
      </c>
      <c r="H1" s="9" t="s">
        <v>121</v>
      </c>
      <c r="I1" s="3" t="s">
        <v>116</v>
      </c>
      <c r="J1" s="3" t="s">
        <v>122</v>
      </c>
      <c r="K1" s="3" t="s">
        <v>119</v>
      </c>
      <c r="L1" s="3" t="s">
        <v>120</v>
      </c>
      <c r="M1" s="3" t="s">
        <v>123</v>
      </c>
      <c r="N1" s="3" t="s">
        <v>124</v>
      </c>
    </row>
    <row r="2" spans="1:14" hidden="1" x14ac:dyDescent="0.3">
      <c r="A2" s="5">
        <v>14</v>
      </c>
      <c r="B2" s="5" t="str">
        <f>_xlfn.XLOOKUP(D2,'[1]Viirs77-Sol'!$C$2:$C$694,'[1]Viirs77-Sol'!$A$2:$A$694)</f>
        <v>TH-10</v>
      </c>
      <c r="C2" s="5" t="str">
        <f>_xlfn.XLOOKUP(D2,cleanprovinces!$B:$B,cleanprovinces!$A:$A)</f>
        <v>BKK&amp;VIC</v>
      </c>
      <c r="D2" s="5" t="s">
        <v>112</v>
      </c>
      <c r="E2" s="6">
        <v>2014</v>
      </c>
      <c r="F2" s="7" cm="1">
        <f t="array" ref="F2">_xlfn.XLOOKUP(D2&amp;E2,'[1]Viirs77-Sol'!$C$2:$C$694&amp;'[1]Viirs77-Sol'!$D$2:$D$694,'[1]Viirs77-Sol'!$E$2:$E$694)</f>
        <v>141994.30850000001</v>
      </c>
      <c r="G2" s="7" cm="1">
        <f t="array" ref="G2">_xlfn.XLOOKUP(B2&amp;E2,'[2]Viirs77-Mean'!$A$2:$A$694&amp;'[2]Viirs77-Mean'!$D$2:$D$694,'[2]Viirs77-Mean'!$E$2:$E$694)</f>
        <v>18.77726075</v>
      </c>
      <c r="H2" s="9" cm="1">
        <f t="array" ref="H2">_xlfn.XLOOKUP(D2,cleanprovinces!$B$2:$B$78,_xlfn.XLOOKUP(panel!E2,cleanprovinces!$C$1:$AC$1,cleanprovinces!$C$2:$AC$78,"no",0,1))</f>
        <v>3211833</v>
      </c>
      <c r="I2" s="4">
        <f>H2*1000000</f>
        <v>3211833000000</v>
      </c>
      <c r="J2" s="3" cm="1">
        <f t="array" ref="J2">_xlfn.XLOOKUP(D2,[3]Sheet1!$B$2:$B$78,_xlfn.XLOOKUP(E2,[3]Sheet1!$C$1:$AC$1,[3]Sheet1!$C$2:$AC$78))</f>
        <v>8597</v>
      </c>
      <c r="K2" s="3">
        <f t="shared" ref="K2:K65" si="0">J2*1000</f>
        <v>8597000</v>
      </c>
      <c r="L2" s="3">
        <f>I2/K2</f>
        <v>373599.27881819237</v>
      </c>
      <c r="M2" s="10" cm="1">
        <f t="array" ref="M2:M617">_xlfn.XLOOKUP(A2:A617,[4]TH_xy!$C$2:$C$78,[4]TH_xy!$J$2:$J$78,"no")</f>
        <v>100.623657593133</v>
      </c>
      <c r="N2" s="10" cm="1">
        <f t="array" ref="N2:N617">_xlfn.XLOOKUP(A2:A617,[4]TH_xy!$C$2:$C$78,[4]TH_xy!$K$2:$K$78)</f>
        <v>13.7719792463399</v>
      </c>
    </row>
    <row r="3" spans="1:14" hidden="1" x14ac:dyDescent="0.3">
      <c r="A3" s="5">
        <v>14</v>
      </c>
      <c r="B3" s="5" t="str">
        <f>_xlfn.XLOOKUP(D3,'[1]Viirs77-Sol'!$C$2:$C$694,'[1]Viirs77-Sol'!$A$2:$A$694)</f>
        <v>TH-10</v>
      </c>
      <c r="C3" s="5" t="str">
        <f>_xlfn.XLOOKUP(D3,cleanprovinces!$B:$B,cleanprovinces!$A:$A)</f>
        <v>BKK&amp;VIC</v>
      </c>
      <c r="D3" s="5" t="s">
        <v>112</v>
      </c>
      <c r="E3" s="6">
        <v>2015</v>
      </c>
      <c r="F3" s="7" cm="1">
        <f t="array" ref="F3">_xlfn.XLOOKUP(D3&amp;E3,'[1]Viirs77-Sol'!$C$2:$C$694&amp;'[1]Viirs77-Sol'!$D$2:$D$694,'[1]Viirs77-Sol'!$E$2:$E$694)</f>
        <v>149370.12820000001</v>
      </c>
      <c r="G3" s="7" cm="1">
        <f t="array" ref="G3">_xlfn.XLOOKUP(B3&amp;E3,'[2]Viirs77-Mean'!$A$2:$A$694&amp;'[2]Viirs77-Mean'!$D$2:$D$694,'[2]Viirs77-Mean'!$E$2:$E$694)</f>
        <v>19.752635690000002</v>
      </c>
      <c r="H3" s="9" cm="1">
        <f t="array" ref="H3">_xlfn.XLOOKUP(D3,cleanprovinces!$B$2:$B$78,_xlfn.XLOOKUP(panel!E3,cleanprovinces!$C$1:$AC$1,cleanprovinces!$C$2:$AC$78,"no",0,1))</f>
        <v>3356196</v>
      </c>
      <c r="I3" s="4">
        <f t="shared" ref="I3:I66" si="1">H3*1000000</f>
        <v>3356196000000</v>
      </c>
      <c r="J3" s="3" cm="1">
        <f t="array" ref="J3">_xlfn.XLOOKUP(D3,[3]Sheet1!$B$2:$B$78,_xlfn.XLOOKUP(E3,[3]Sheet1!$C$1:$AC$1,[3]Sheet1!$C$2:$AC$78))</f>
        <v>8675</v>
      </c>
      <c r="K3" s="3">
        <f t="shared" si="0"/>
        <v>8675000</v>
      </c>
      <c r="L3" s="3">
        <f t="shared" ref="L3:L66" si="2">I3/K3</f>
        <v>386881.38328530261</v>
      </c>
      <c r="M3" s="10">
        <v>100.623657593133</v>
      </c>
      <c r="N3" s="10">
        <v>13.7719792463399</v>
      </c>
    </row>
    <row r="4" spans="1:14" hidden="1" x14ac:dyDescent="0.3">
      <c r="A4" s="5">
        <v>14</v>
      </c>
      <c r="B4" s="5" t="str">
        <f>_xlfn.XLOOKUP(D4,'[1]Viirs77-Sol'!$C$2:$C$694,'[1]Viirs77-Sol'!$A$2:$A$694)</f>
        <v>TH-10</v>
      </c>
      <c r="C4" s="5" t="str">
        <f>_xlfn.XLOOKUP(D4,cleanprovinces!$B:$B,cleanprovinces!$A:$A)</f>
        <v>BKK&amp;VIC</v>
      </c>
      <c r="D4" s="5" t="s">
        <v>112</v>
      </c>
      <c r="E4" s="6">
        <v>2016</v>
      </c>
      <c r="F4" s="7" cm="1">
        <f t="array" ref="F4">_xlfn.XLOOKUP(D4&amp;E4,'[1]Viirs77-Sol'!$C$2:$C$694&amp;'[1]Viirs77-Sol'!$D$2:$D$694,'[1]Viirs77-Sol'!$E$2:$E$694)</f>
        <v>155677.25099999999</v>
      </c>
      <c r="G4" s="7" cm="1">
        <f t="array" ref="G4">_xlfn.XLOOKUP(B4&amp;E4,'[2]Viirs77-Mean'!$A$2:$A$694&amp;'[2]Viirs77-Mean'!$D$2:$D$694,'[2]Viirs77-Mean'!$E$2:$E$694)</f>
        <v>20.58668664</v>
      </c>
      <c r="H4" s="9" cm="1">
        <f t="array" ref="H4">_xlfn.XLOOKUP(D4,cleanprovinces!$B$2:$B$78,_xlfn.XLOOKUP(panel!E4,cleanprovinces!$C$1:$AC$1,cleanprovinces!$C$2:$AC$78,"no",0,1))</f>
        <v>3503634</v>
      </c>
      <c r="I4" s="4">
        <f t="shared" si="1"/>
        <v>3503634000000</v>
      </c>
      <c r="J4" s="3" cm="1">
        <f t="array" ref="J4">_xlfn.XLOOKUP(D4,[3]Sheet1!$B$2:$B$78,_xlfn.XLOOKUP(E4,[3]Sheet1!$C$1:$AC$1,[3]Sheet1!$C$2:$AC$78))</f>
        <v>8753</v>
      </c>
      <c r="K4" s="3">
        <f t="shared" si="0"/>
        <v>8753000</v>
      </c>
      <c r="L4" s="3">
        <f t="shared" si="2"/>
        <v>400278.07608819834</v>
      </c>
      <c r="M4" s="10">
        <v>100.623657593133</v>
      </c>
      <c r="N4" s="10">
        <v>13.7719792463399</v>
      </c>
    </row>
    <row r="5" spans="1:14" hidden="1" x14ac:dyDescent="0.3">
      <c r="A5" s="5">
        <v>14</v>
      </c>
      <c r="B5" s="5" t="str">
        <f>_xlfn.XLOOKUP(D5,'[1]Viirs77-Sol'!$C$2:$C$694,'[1]Viirs77-Sol'!$A$2:$A$694)</f>
        <v>TH-10</v>
      </c>
      <c r="C5" s="5" t="str">
        <f>_xlfn.XLOOKUP(D5,cleanprovinces!$B:$B,cleanprovinces!$A:$A)</f>
        <v>BKK&amp;VIC</v>
      </c>
      <c r="D5" s="5" t="s">
        <v>112</v>
      </c>
      <c r="E5" s="6">
        <v>2017</v>
      </c>
      <c r="F5" s="7" cm="1">
        <f t="array" ref="F5">_xlfn.XLOOKUP(D5&amp;E5,'[1]Viirs77-Sol'!$C$2:$C$694&amp;'[1]Viirs77-Sol'!$D$2:$D$694,'[1]Viirs77-Sol'!$E$2:$E$694)</f>
        <v>160395.5232</v>
      </c>
      <c r="G5" s="7" cm="1">
        <f t="array" ref="G5">_xlfn.XLOOKUP(B5&amp;E5,'[2]Viirs77-Mean'!$A$2:$A$694&amp;'[2]Viirs77-Mean'!$D$2:$D$694,'[2]Viirs77-Mean'!$E$2:$E$694)</f>
        <v>21.210628750000001</v>
      </c>
      <c r="H5" s="9" cm="1">
        <f t="array" ref="H5">_xlfn.XLOOKUP(D5,cleanprovinces!$B$2:$B$78,_xlfn.XLOOKUP(panel!E5,cleanprovinces!$C$1:$AC$1,cleanprovinces!$C$2:$AC$78,"no",0,1))</f>
        <v>3651844</v>
      </c>
      <c r="I5" s="4">
        <f t="shared" si="1"/>
        <v>3651844000000</v>
      </c>
      <c r="J5" s="3" cm="1">
        <f t="array" ref="J5">_xlfn.XLOOKUP(D5,[3]Sheet1!$B$2:$B$78,_xlfn.XLOOKUP(E5,[3]Sheet1!$C$1:$AC$1,[3]Sheet1!$C$2:$AC$78))</f>
        <v>8832</v>
      </c>
      <c r="K5" s="3">
        <f t="shared" si="0"/>
        <v>8832000</v>
      </c>
      <c r="L5" s="3">
        <f t="shared" si="2"/>
        <v>413478.71376811597</v>
      </c>
      <c r="M5" s="10">
        <v>100.623657593133</v>
      </c>
      <c r="N5" s="10">
        <v>13.7719792463399</v>
      </c>
    </row>
    <row r="6" spans="1:14" hidden="1" x14ac:dyDescent="0.3">
      <c r="A6" s="5">
        <v>14</v>
      </c>
      <c r="B6" s="5" t="str">
        <f>_xlfn.XLOOKUP(D6,'[1]Viirs77-Sol'!$C$2:$C$694,'[1]Viirs77-Sol'!$A$2:$A$694)</f>
        <v>TH-10</v>
      </c>
      <c r="C6" s="5" t="str">
        <f>_xlfn.XLOOKUP(D6,cleanprovinces!$B:$B,cleanprovinces!$A:$A)</f>
        <v>BKK&amp;VIC</v>
      </c>
      <c r="D6" s="5" t="s">
        <v>112</v>
      </c>
      <c r="E6" s="6">
        <v>2018</v>
      </c>
      <c r="F6" s="7" cm="1">
        <f t="array" ref="F6">_xlfn.XLOOKUP(D6&amp;E6,'[1]Viirs77-Sol'!$C$2:$C$694&amp;'[1]Viirs77-Sol'!$D$2:$D$694,'[1]Viirs77-Sol'!$E$2:$E$694)</f>
        <v>167180.34239999999</v>
      </c>
      <c r="G6" s="7" cm="1">
        <f t="array" ref="G6">_xlfn.XLOOKUP(B6&amp;E6,'[2]Viirs77-Mean'!$A$2:$A$694&amp;'[2]Viirs77-Mean'!$D$2:$D$694,'[2]Viirs77-Mean'!$E$2:$E$694)</f>
        <v>22.107850060000001</v>
      </c>
      <c r="H6" s="9" cm="1">
        <f t="array" ref="H6">_xlfn.XLOOKUP(D6,cleanprovinces!$B$2:$B$78,_xlfn.XLOOKUP(panel!E6,cleanprovinces!$C$1:$AC$1,cleanprovinces!$C$2:$AC$78,"no",0,1))</f>
        <v>3838230</v>
      </c>
      <c r="I6" s="4">
        <f t="shared" si="1"/>
        <v>3838230000000</v>
      </c>
      <c r="J6" s="3" cm="1">
        <f t="array" ref="J6">_xlfn.XLOOKUP(D6,[3]Sheet1!$B$2:$B$78,_xlfn.XLOOKUP(E6,[3]Sheet1!$C$1:$AC$1,[3]Sheet1!$C$2:$AC$78))</f>
        <v>8912</v>
      </c>
      <c r="K6" s="3">
        <f t="shared" si="0"/>
        <v>8912000</v>
      </c>
      <c r="L6" s="3">
        <f t="shared" si="2"/>
        <v>430681.1041292639</v>
      </c>
      <c r="M6" s="10">
        <v>100.623657593133</v>
      </c>
      <c r="N6" s="10">
        <v>13.7719792463399</v>
      </c>
    </row>
    <row r="7" spans="1:14" hidden="1" x14ac:dyDescent="0.3">
      <c r="A7" s="5">
        <v>14</v>
      </c>
      <c r="B7" s="5" t="str">
        <f>_xlfn.XLOOKUP(D7,'[1]Viirs77-Sol'!$C$2:$C$694,'[1]Viirs77-Sol'!$A$2:$A$694)</f>
        <v>TH-10</v>
      </c>
      <c r="C7" s="5" t="str">
        <f>_xlfn.XLOOKUP(D7,cleanprovinces!$B:$B,cleanprovinces!$A:$A)</f>
        <v>BKK&amp;VIC</v>
      </c>
      <c r="D7" s="5" t="s">
        <v>112</v>
      </c>
      <c r="E7" s="6">
        <v>2019</v>
      </c>
      <c r="F7" s="7" cm="1">
        <f t="array" ref="F7">_xlfn.XLOOKUP(D7&amp;E7,'[1]Viirs77-Sol'!$C$2:$C$694&amp;'[1]Viirs77-Sol'!$D$2:$D$694,'[1]Viirs77-Sol'!$E$2:$E$694)</f>
        <v>170700.0275</v>
      </c>
      <c r="G7" s="7" cm="1">
        <f t="array" ref="G7">_xlfn.XLOOKUP(B7&amp;E7,'[2]Viirs77-Mean'!$A$2:$A$694&amp;'[2]Viirs77-Mean'!$D$2:$D$694,'[2]Viirs77-Mean'!$E$2:$E$694)</f>
        <v>22.573291569999999</v>
      </c>
      <c r="H7" s="9" cm="1">
        <f t="array" ref="H7">_xlfn.XLOOKUP(D7,cleanprovinces!$B$2:$B$78,_xlfn.XLOOKUP(panel!E7,cleanprovinces!$C$1:$AC$1,cleanprovinces!$C$2:$AC$78,"no",0,1))</f>
        <v>3999343</v>
      </c>
      <c r="I7" s="4">
        <f t="shared" si="1"/>
        <v>3999343000000</v>
      </c>
      <c r="J7" s="3" cm="1">
        <f t="array" ref="J7">_xlfn.XLOOKUP(D7,[3]Sheet1!$B$2:$B$78,_xlfn.XLOOKUP(E7,[3]Sheet1!$C$1:$AC$1,[3]Sheet1!$C$2:$AC$78))</f>
        <v>8958</v>
      </c>
      <c r="K7" s="3">
        <f t="shared" si="0"/>
        <v>8958000</v>
      </c>
      <c r="L7" s="3">
        <f t="shared" si="2"/>
        <v>446454.90064746595</v>
      </c>
      <c r="M7" s="10">
        <v>100.623657593133</v>
      </c>
      <c r="N7" s="10">
        <v>13.7719792463399</v>
      </c>
    </row>
    <row r="8" spans="1:14" hidden="1" x14ac:dyDescent="0.3">
      <c r="A8" s="5">
        <v>14</v>
      </c>
      <c r="B8" s="5" t="str">
        <f>_xlfn.XLOOKUP(D8,'[1]Viirs77-Sol'!$C$2:$C$694,'[1]Viirs77-Sol'!$A$2:$A$694)</f>
        <v>TH-10</v>
      </c>
      <c r="C8" s="5" t="str">
        <f>_xlfn.XLOOKUP(D8,cleanprovinces!$B:$B,cleanprovinces!$A:$A)</f>
        <v>BKK&amp;VIC</v>
      </c>
      <c r="D8" s="5" t="s">
        <v>112</v>
      </c>
      <c r="E8" s="6">
        <v>2020</v>
      </c>
      <c r="F8" s="7" cm="1">
        <f t="array" ref="F8">_xlfn.XLOOKUP(D8&amp;E8,'[1]Viirs77-Sol'!$C$2:$C$694&amp;'[1]Viirs77-Sol'!$D$2:$D$694,'[1]Viirs77-Sol'!$E$2:$E$694)</f>
        <v>170383.3315</v>
      </c>
      <c r="G8" s="7" cm="1">
        <f t="array" ref="G8">_xlfn.XLOOKUP(B8&amp;E8,'[2]Viirs77-Mean'!$A$2:$A$694&amp;'[2]Viirs77-Mean'!$D$2:$D$694,'[2]Viirs77-Mean'!$E$2:$E$694)</f>
        <v>22.53141183</v>
      </c>
      <c r="H8" s="9" cm="1">
        <f t="array" ref="H8">_xlfn.XLOOKUP(D8,cleanprovinces!$B$2:$B$78,_xlfn.XLOOKUP(panel!E8,cleanprovinces!$C$1:$AC$1,cleanprovinces!$C$2:$AC$78,"no",0,1))</f>
        <v>3749759</v>
      </c>
      <c r="I8" s="4">
        <f t="shared" si="1"/>
        <v>3749759000000</v>
      </c>
      <c r="J8" s="3" cm="1">
        <f t="array" ref="J8">_xlfn.XLOOKUP(D8,[3]Sheet1!$B$2:$B$78,_xlfn.XLOOKUP(E8,[3]Sheet1!$C$1:$AC$1,[3]Sheet1!$C$2:$AC$78))</f>
        <v>8999</v>
      </c>
      <c r="K8" s="3">
        <f t="shared" si="0"/>
        <v>8999000</v>
      </c>
      <c r="L8" s="3">
        <f t="shared" si="2"/>
        <v>416686.18735415046</v>
      </c>
      <c r="M8" s="10">
        <v>100.623657593133</v>
      </c>
      <c r="N8" s="10">
        <v>13.7719792463399</v>
      </c>
    </row>
    <row r="9" spans="1:14" hidden="1" x14ac:dyDescent="0.3">
      <c r="A9" s="5">
        <v>14</v>
      </c>
      <c r="B9" s="5" t="str">
        <f>_xlfn.XLOOKUP(D9,'[1]Viirs77-Sol'!$C$2:$C$694,'[1]Viirs77-Sol'!$A$2:$A$694)</f>
        <v>TH-10</v>
      </c>
      <c r="C9" s="5" t="str">
        <f>_xlfn.XLOOKUP(D9,cleanprovinces!$B:$B,cleanprovinces!$A:$A)</f>
        <v>BKK&amp;VIC</v>
      </c>
      <c r="D9" s="5" t="s">
        <v>112</v>
      </c>
      <c r="E9" s="6">
        <v>2021</v>
      </c>
      <c r="F9" s="7" cm="1">
        <f t="array" ref="F9">_xlfn.XLOOKUP(D9&amp;E9,'[1]Viirs77-Sol'!$C$2:$C$694&amp;'[1]Viirs77-Sol'!$D$2:$D$694,'[1]Viirs77-Sol'!$E$2:$E$694)</f>
        <v>178175.71969999999</v>
      </c>
      <c r="G9" s="7" cm="1">
        <f t="array" ref="G9">_xlfn.XLOOKUP(B9&amp;E9,'[2]Viirs77-Mean'!$A$2:$A$694&amp;'[2]Viirs77-Mean'!$D$2:$D$694,'[2]Viirs77-Mean'!$E$2:$E$694)</f>
        <v>23.561873590000001</v>
      </c>
      <c r="H9" s="9" cm="1">
        <f t="array" ref="H9">_xlfn.XLOOKUP(D9,cleanprovinces!$B$2:$B$78,_xlfn.XLOOKUP(panel!E9,cleanprovinces!$C$1:$AC$1,cleanprovinces!$C$2:$AC$78,"no",0,1))</f>
        <v>3763549</v>
      </c>
      <c r="I9" s="4">
        <f t="shared" si="1"/>
        <v>3763549000000</v>
      </c>
      <c r="J9" s="3" cm="1">
        <f t="array" ref="J9">_xlfn.XLOOKUP(D9,[3]Sheet1!$B$2:$B$78,_xlfn.XLOOKUP(E9,[3]Sheet1!$C$1:$AC$1,[3]Sheet1!$C$2:$AC$78))</f>
        <v>9034</v>
      </c>
      <c r="K9" s="3">
        <f t="shared" si="0"/>
        <v>9034000</v>
      </c>
      <c r="L9" s="3">
        <f t="shared" si="2"/>
        <v>416598.29532875802</v>
      </c>
      <c r="M9" s="10">
        <v>100.623657593133</v>
      </c>
      <c r="N9" s="10">
        <v>13.7719792463399</v>
      </c>
    </row>
    <row r="10" spans="1:14" hidden="1" x14ac:dyDescent="0.3">
      <c r="A10" s="5">
        <v>27</v>
      </c>
      <c r="B10" s="5" t="str">
        <f>_xlfn.XLOOKUP(D10,'[1]Viirs77-Sol'!$C$2:$C$694,'[1]Viirs77-Sol'!$A$2:$A$694)</f>
        <v>TH-73</v>
      </c>
      <c r="C10" s="5" t="str">
        <f>_xlfn.XLOOKUP(D10,cleanprovinces!$B:$B,cleanprovinces!$A:$A)</f>
        <v>BKK&amp;VIC</v>
      </c>
      <c r="D10" s="5" t="s">
        <v>107</v>
      </c>
      <c r="E10" s="6">
        <v>2014</v>
      </c>
      <c r="F10" s="7" cm="1">
        <f t="array" ref="F10">_xlfn.XLOOKUP(D10&amp;E10,'[1]Viirs77-Sol'!$C$2:$C$694&amp;'[1]Viirs77-Sol'!$D$2:$D$694,'[1]Viirs77-Sol'!$E$2:$E$694)</f>
        <v>35279.954590000001</v>
      </c>
      <c r="G10" s="7" cm="1">
        <f t="array" ref="G10">_xlfn.XLOOKUP(B10&amp;E10,'[2]Viirs77-Mean'!$A$2:$A$694&amp;'[2]Viirs77-Mean'!$D$2:$D$694,'[2]Viirs77-Mean'!$E$2:$E$694)</f>
        <v>3.505304454</v>
      </c>
      <c r="H10" s="9" cm="1">
        <f t="array" ref="H10">_xlfn.XLOOKUP(D10,cleanprovinces!$B$2:$B$78,_xlfn.XLOOKUP(panel!E10,cleanprovinces!$C$1:$AC$1,cleanprovinces!$C$2:$AC$78,"no",0,1))</f>
        <v>198720</v>
      </c>
      <c r="I10" s="4">
        <f t="shared" si="1"/>
        <v>198720000000</v>
      </c>
      <c r="J10" s="3" cm="1">
        <f t="array" ref="J10">_xlfn.XLOOKUP(D10,[3]Sheet1!$B$2:$B$78,_xlfn.XLOOKUP(E10,[3]Sheet1!$C$1:$AC$1,[3]Sheet1!$C$2:$AC$78))</f>
        <v>1056</v>
      </c>
      <c r="K10" s="3">
        <f t="shared" si="0"/>
        <v>1056000</v>
      </c>
      <c r="L10" s="3">
        <f t="shared" si="2"/>
        <v>188181.81818181818</v>
      </c>
      <c r="M10" s="10">
        <v>100.106076986434</v>
      </c>
      <c r="N10" s="10">
        <v>13.923302846199</v>
      </c>
    </row>
    <row r="11" spans="1:14" hidden="1" x14ac:dyDescent="0.3">
      <c r="A11" s="5">
        <v>27</v>
      </c>
      <c r="B11" s="5" t="str">
        <f>_xlfn.XLOOKUP(D11,'[1]Viirs77-Sol'!$C$2:$C$694,'[1]Viirs77-Sol'!$A$2:$A$694)</f>
        <v>TH-73</v>
      </c>
      <c r="C11" s="5" t="str">
        <f>_xlfn.XLOOKUP(D11,cleanprovinces!$B:$B,cleanprovinces!$A:$A)</f>
        <v>BKK&amp;VIC</v>
      </c>
      <c r="D11" s="5" t="s">
        <v>107</v>
      </c>
      <c r="E11" s="6">
        <v>2015</v>
      </c>
      <c r="F11" s="7" cm="1">
        <f t="array" ref="F11">_xlfn.XLOOKUP(D11&amp;E11,'[1]Viirs77-Sol'!$C$2:$C$694&amp;'[1]Viirs77-Sol'!$D$2:$D$694,'[1]Viirs77-Sol'!$E$2:$E$694)</f>
        <v>37759.328699999998</v>
      </c>
      <c r="G11" s="7" cm="1">
        <f t="array" ref="G11">_xlfn.XLOOKUP(B11&amp;E11,'[2]Viirs77-Mean'!$A$2:$A$694&amp;'[2]Viirs77-Mean'!$D$2:$D$694,'[2]Viirs77-Mean'!$E$2:$E$694)</f>
        <v>3.751647207</v>
      </c>
      <c r="H11" s="9" cm="1">
        <f t="array" ref="H11">_xlfn.XLOOKUP(D11,cleanprovinces!$B$2:$B$78,_xlfn.XLOOKUP(panel!E11,cleanprovinces!$C$1:$AC$1,cleanprovinces!$C$2:$AC$78,"no",0,1))</f>
        <v>210975</v>
      </c>
      <c r="I11" s="4">
        <f t="shared" si="1"/>
        <v>210975000000</v>
      </c>
      <c r="J11" s="3" cm="1">
        <f t="array" ref="J11">_xlfn.XLOOKUP(D11,[3]Sheet1!$B$2:$B$78,_xlfn.XLOOKUP(E11,[3]Sheet1!$C$1:$AC$1,[3]Sheet1!$C$2:$AC$78))</f>
        <v>1084</v>
      </c>
      <c r="K11" s="3">
        <f t="shared" si="0"/>
        <v>1084000</v>
      </c>
      <c r="L11" s="3">
        <f t="shared" si="2"/>
        <v>194626.38376383763</v>
      </c>
      <c r="M11" s="10">
        <v>100.106076986434</v>
      </c>
      <c r="N11" s="10">
        <v>13.923302846199</v>
      </c>
    </row>
    <row r="12" spans="1:14" hidden="1" x14ac:dyDescent="0.3">
      <c r="A12" s="5">
        <v>27</v>
      </c>
      <c r="B12" s="5" t="str">
        <f>_xlfn.XLOOKUP(D12,'[1]Viirs77-Sol'!$C$2:$C$694,'[1]Viirs77-Sol'!$A$2:$A$694)</f>
        <v>TH-73</v>
      </c>
      <c r="C12" s="5" t="str">
        <f>_xlfn.XLOOKUP(D12,cleanprovinces!$B:$B,cleanprovinces!$A:$A)</f>
        <v>BKK&amp;VIC</v>
      </c>
      <c r="D12" s="5" t="s">
        <v>107</v>
      </c>
      <c r="E12" s="6">
        <v>2016</v>
      </c>
      <c r="F12" s="7" cm="1">
        <f t="array" ref="F12">_xlfn.XLOOKUP(D12&amp;E12,'[1]Viirs77-Sol'!$C$2:$C$694&amp;'[1]Viirs77-Sol'!$D$2:$D$694,'[1]Viirs77-Sol'!$E$2:$E$694)</f>
        <v>39150.001819999998</v>
      </c>
      <c r="G12" s="7" cm="1">
        <f t="array" ref="G12">_xlfn.XLOOKUP(B12&amp;E12,'[2]Viirs77-Mean'!$A$2:$A$694&amp;'[2]Viirs77-Mean'!$D$2:$D$694,'[2]Viirs77-Mean'!$E$2:$E$694)</f>
        <v>3.8898200799999998</v>
      </c>
      <c r="H12" s="9" cm="1">
        <f t="array" ref="H12">_xlfn.XLOOKUP(D12,cleanprovinces!$B$2:$B$78,_xlfn.XLOOKUP(panel!E12,cleanprovinces!$C$1:$AC$1,cleanprovinces!$C$2:$AC$78,"no",0,1))</f>
        <v>217834</v>
      </c>
      <c r="I12" s="4">
        <f t="shared" si="1"/>
        <v>217834000000</v>
      </c>
      <c r="J12" s="3" cm="1">
        <f t="array" ref="J12">_xlfn.XLOOKUP(D12,[3]Sheet1!$B$2:$B$78,_xlfn.XLOOKUP(E12,[3]Sheet1!$C$1:$AC$1,[3]Sheet1!$C$2:$AC$78))</f>
        <v>1110</v>
      </c>
      <c r="K12" s="3">
        <f t="shared" si="0"/>
        <v>1110000</v>
      </c>
      <c r="L12" s="3">
        <f t="shared" si="2"/>
        <v>196246.84684684683</v>
      </c>
      <c r="M12" s="10">
        <v>100.106076986434</v>
      </c>
      <c r="N12" s="10">
        <v>13.923302846199</v>
      </c>
    </row>
    <row r="13" spans="1:14" hidden="1" x14ac:dyDescent="0.3">
      <c r="A13" s="5">
        <v>27</v>
      </c>
      <c r="B13" s="5" t="str">
        <f>_xlfn.XLOOKUP(D13,'[1]Viirs77-Sol'!$C$2:$C$694,'[1]Viirs77-Sol'!$A$2:$A$694)</f>
        <v>TH-73</v>
      </c>
      <c r="C13" s="5" t="str">
        <f>_xlfn.XLOOKUP(D13,cleanprovinces!$B:$B,cleanprovinces!$A:$A)</f>
        <v>BKK&amp;VIC</v>
      </c>
      <c r="D13" s="5" t="s">
        <v>107</v>
      </c>
      <c r="E13" s="6">
        <v>2017</v>
      </c>
      <c r="F13" s="7" cm="1">
        <f t="array" ref="F13">_xlfn.XLOOKUP(D13&amp;E13,'[1]Viirs77-Sol'!$C$2:$C$694&amp;'[1]Viirs77-Sol'!$D$2:$D$694,'[1]Viirs77-Sol'!$E$2:$E$694)</f>
        <v>42484.679629999999</v>
      </c>
      <c r="G13" s="7" cm="1">
        <f t="array" ref="G13">_xlfn.XLOOKUP(B13&amp;E13,'[2]Viirs77-Mean'!$A$2:$A$694&amp;'[2]Viirs77-Mean'!$D$2:$D$694,'[2]Viirs77-Mean'!$E$2:$E$694)</f>
        <v>4.2211430959999996</v>
      </c>
      <c r="H13" s="9" cm="1">
        <f t="array" ref="H13">_xlfn.XLOOKUP(D13,cleanprovinces!$B$2:$B$78,_xlfn.XLOOKUP(panel!E13,cleanprovinces!$C$1:$AC$1,cleanprovinces!$C$2:$AC$78,"no",0,1))</f>
        <v>224312</v>
      </c>
      <c r="I13" s="4">
        <f t="shared" si="1"/>
        <v>224312000000</v>
      </c>
      <c r="J13" s="3" cm="1">
        <f t="array" ref="J13">_xlfn.XLOOKUP(D13,[3]Sheet1!$B$2:$B$78,_xlfn.XLOOKUP(E13,[3]Sheet1!$C$1:$AC$1,[3]Sheet1!$C$2:$AC$78))</f>
        <v>1172</v>
      </c>
      <c r="K13" s="3">
        <f t="shared" si="0"/>
        <v>1172000</v>
      </c>
      <c r="L13" s="3">
        <f t="shared" si="2"/>
        <v>191392.49146757679</v>
      </c>
      <c r="M13" s="10">
        <v>100.106076986434</v>
      </c>
      <c r="N13" s="10">
        <v>13.923302846199</v>
      </c>
    </row>
    <row r="14" spans="1:14" hidden="1" x14ac:dyDescent="0.3">
      <c r="A14" s="5">
        <v>27</v>
      </c>
      <c r="B14" s="5" t="str">
        <f>_xlfn.XLOOKUP(D14,'[1]Viirs77-Sol'!$C$2:$C$694,'[1]Viirs77-Sol'!$A$2:$A$694)</f>
        <v>TH-73</v>
      </c>
      <c r="C14" s="5" t="str">
        <f>_xlfn.XLOOKUP(D14,cleanprovinces!$B:$B,cleanprovinces!$A:$A)</f>
        <v>BKK&amp;VIC</v>
      </c>
      <c r="D14" s="5" t="s">
        <v>107</v>
      </c>
      <c r="E14" s="6">
        <v>2018</v>
      </c>
      <c r="F14" s="7" cm="1">
        <f t="array" ref="F14">_xlfn.XLOOKUP(D14&amp;E14,'[1]Viirs77-Sol'!$C$2:$C$694&amp;'[1]Viirs77-Sol'!$D$2:$D$694,'[1]Viirs77-Sol'!$E$2:$E$694)</f>
        <v>43893.751709999997</v>
      </c>
      <c r="G14" s="7" cm="1">
        <f t="array" ref="G14">_xlfn.XLOOKUP(B14&amp;E14,'[2]Viirs77-Mean'!$A$2:$A$694&amp;'[2]Viirs77-Mean'!$D$2:$D$694,'[2]Viirs77-Mean'!$E$2:$E$694)</f>
        <v>4.3611440320000003</v>
      </c>
      <c r="H14" s="9" cm="1">
        <f t="array" ref="H14">_xlfn.XLOOKUP(D14,cleanprovinces!$B$2:$B$78,_xlfn.XLOOKUP(panel!E14,cleanprovinces!$C$1:$AC$1,cleanprovinces!$C$2:$AC$78,"no",0,1))</f>
        <v>232815</v>
      </c>
      <c r="I14" s="4">
        <f t="shared" si="1"/>
        <v>232815000000</v>
      </c>
      <c r="J14" s="3" cm="1">
        <f t="array" ref="J14">_xlfn.XLOOKUP(D14,[3]Sheet1!$B$2:$B$78,_xlfn.XLOOKUP(E14,[3]Sheet1!$C$1:$AC$1,[3]Sheet1!$C$2:$AC$78))</f>
        <v>1186</v>
      </c>
      <c r="K14" s="3">
        <f t="shared" si="0"/>
        <v>1186000</v>
      </c>
      <c r="L14" s="3">
        <f t="shared" si="2"/>
        <v>196302.69814502529</v>
      </c>
      <c r="M14" s="10">
        <v>100.106076986434</v>
      </c>
      <c r="N14" s="10">
        <v>13.923302846199</v>
      </c>
    </row>
    <row r="15" spans="1:14" hidden="1" x14ac:dyDescent="0.3">
      <c r="A15" s="5">
        <v>27</v>
      </c>
      <c r="B15" s="5" t="str">
        <f>_xlfn.XLOOKUP(D15,'[1]Viirs77-Sol'!$C$2:$C$694,'[1]Viirs77-Sol'!$A$2:$A$694)</f>
        <v>TH-73</v>
      </c>
      <c r="C15" s="5" t="str">
        <f>_xlfn.XLOOKUP(D15,cleanprovinces!$B:$B,cleanprovinces!$A:$A)</f>
        <v>BKK&amp;VIC</v>
      </c>
      <c r="D15" s="5" t="s">
        <v>107</v>
      </c>
      <c r="E15" s="6">
        <v>2019</v>
      </c>
      <c r="F15" s="7" cm="1">
        <f t="array" ref="F15">_xlfn.XLOOKUP(D15&amp;E15,'[1]Viirs77-Sol'!$C$2:$C$694&amp;'[1]Viirs77-Sol'!$D$2:$D$694,'[1]Viirs77-Sol'!$E$2:$E$694)</f>
        <v>45530.963519999998</v>
      </c>
      <c r="G15" s="7" cm="1">
        <f t="array" ref="G15">_xlfn.XLOOKUP(B15&amp;E15,'[2]Viirs77-Mean'!$A$2:$A$694&amp;'[2]Viirs77-Mean'!$D$2:$D$694,'[2]Viirs77-Mean'!$E$2:$E$694)</f>
        <v>4.5238122079999998</v>
      </c>
      <c r="H15" s="9" cm="1">
        <f t="array" ref="H15">_xlfn.XLOOKUP(D15,cleanprovinces!$B$2:$B$78,_xlfn.XLOOKUP(panel!E15,cleanprovinces!$C$1:$AC$1,cleanprovinces!$C$2:$AC$78,"no",0,1))</f>
        <v>235750</v>
      </c>
      <c r="I15" s="4">
        <f t="shared" si="1"/>
        <v>235750000000</v>
      </c>
      <c r="J15" s="3" cm="1">
        <f t="array" ref="J15">_xlfn.XLOOKUP(D15,[3]Sheet1!$B$2:$B$78,_xlfn.XLOOKUP(E15,[3]Sheet1!$C$1:$AC$1,[3]Sheet1!$C$2:$AC$78))</f>
        <v>1200</v>
      </c>
      <c r="K15" s="3">
        <f t="shared" si="0"/>
        <v>1200000</v>
      </c>
      <c r="L15" s="3">
        <f t="shared" si="2"/>
        <v>196458.33333333334</v>
      </c>
      <c r="M15" s="10">
        <v>100.106076986434</v>
      </c>
      <c r="N15" s="10">
        <v>13.923302846199</v>
      </c>
    </row>
    <row r="16" spans="1:14" hidden="1" x14ac:dyDescent="0.3">
      <c r="A16" s="5">
        <v>27</v>
      </c>
      <c r="B16" s="5" t="str">
        <f>_xlfn.XLOOKUP(D16,'[1]Viirs77-Sol'!$C$2:$C$694,'[1]Viirs77-Sol'!$A$2:$A$694)</f>
        <v>TH-73</v>
      </c>
      <c r="C16" s="5" t="str">
        <f>_xlfn.XLOOKUP(D16,cleanprovinces!$B:$B,cleanprovinces!$A:$A)</f>
        <v>BKK&amp;VIC</v>
      </c>
      <c r="D16" s="5" t="s">
        <v>107</v>
      </c>
      <c r="E16" s="6">
        <v>2020</v>
      </c>
      <c r="F16" s="7" cm="1">
        <f t="array" ref="F16">_xlfn.XLOOKUP(D16&amp;E16,'[1]Viirs77-Sol'!$C$2:$C$694&amp;'[1]Viirs77-Sol'!$D$2:$D$694,'[1]Viirs77-Sol'!$E$2:$E$694)</f>
        <v>45799.528100000003</v>
      </c>
      <c r="G16" s="7" cm="1">
        <f t="array" ref="G16">_xlfn.XLOOKUP(B16&amp;E16,'[2]Viirs77-Mean'!$A$2:$A$694&amp;'[2]Viirs77-Mean'!$D$2:$D$694,'[2]Viirs77-Mean'!$E$2:$E$694)</f>
        <v>4.5504959329999997</v>
      </c>
      <c r="H16" s="9" cm="1">
        <f t="array" ref="H16">_xlfn.XLOOKUP(D16,cleanprovinces!$B$2:$B$78,_xlfn.XLOOKUP(panel!E16,cleanprovinces!$C$1:$AC$1,cleanprovinces!$C$2:$AC$78,"no",0,1))</f>
        <v>229706</v>
      </c>
      <c r="I16" s="4">
        <f t="shared" si="1"/>
        <v>229706000000</v>
      </c>
      <c r="J16" s="3" cm="1">
        <f t="array" ref="J16">_xlfn.XLOOKUP(D16,[3]Sheet1!$B$2:$B$78,_xlfn.XLOOKUP(E16,[3]Sheet1!$C$1:$AC$1,[3]Sheet1!$C$2:$AC$78))</f>
        <v>1214</v>
      </c>
      <c r="K16" s="3">
        <f t="shared" si="0"/>
        <v>1214000</v>
      </c>
      <c r="L16" s="3">
        <f t="shared" si="2"/>
        <v>189214.16803953872</v>
      </c>
      <c r="M16" s="10">
        <v>100.106076986434</v>
      </c>
      <c r="N16" s="10">
        <v>13.923302846199</v>
      </c>
    </row>
    <row r="17" spans="1:14" hidden="1" x14ac:dyDescent="0.3">
      <c r="A17" s="5">
        <v>27</v>
      </c>
      <c r="B17" s="5" t="str">
        <f>_xlfn.XLOOKUP(D17,'[1]Viirs77-Sol'!$C$2:$C$694,'[1]Viirs77-Sol'!$A$2:$A$694)</f>
        <v>TH-73</v>
      </c>
      <c r="C17" s="5" t="str">
        <f>_xlfn.XLOOKUP(D17,cleanprovinces!$B:$B,cleanprovinces!$A:$A)</f>
        <v>BKK&amp;VIC</v>
      </c>
      <c r="D17" s="5" t="s">
        <v>107</v>
      </c>
      <c r="E17" s="6">
        <v>2021</v>
      </c>
      <c r="F17" s="7" cm="1">
        <f t="array" ref="F17">_xlfn.XLOOKUP(D17&amp;E17,'[1]Viirs77-Sol'!$C$2:$C$694&amp;'[1]Viirs77-Sol'!$D$2:$D$694,'[1]Viirs77-Sol'!$E$2:$E$694)</f>
        <v>48714.870900000002</v>
      </c>
      <c r="G17" s="7" cm="1">
        <f t="array" ref="G17">_xlfn.XLOOKUP(B17&amp;E17,'[2]Viirs77-Mean'!$A$2:$A$694&amp;'[2]Viirs77-Mean'!$D$2:$D$694,'[2]Viirs77-Mean'!$E$2:$E$694)</f>
        <v>4.8401551520000003</v>
      </c>
      <c r="H17" s="9" cm="1">
        <f t="array" ref="H17">_xlfn.XLOOKUP(D17,cleanprovinces!$B$2:$B$78,_xlfn.XLOOKUP(panel!E17,cleanprovinces!$C$1:$AC$1,cleanprovinces!$C$2:$AC$78,"no",0,1))</f>
        <v>237317</v>
      </c>
      <c r="I17" s="4">
        <f t="shared" si="1"/>
        <v>237317000000</v>
      </c>
      <c r="J17" s="3" cm="1">
        <f t="array" ref="J17">_xlfn.XLOOKUP(D17,[3]Sheet1!$B$2:$B$78,_xlfn.XLOOKUP(E17,[3]Sheet1!$C$1:$AC$1,[3]Sheet1!$C$2:$AC$78))</f>
        <v>1229</v>
      </c>
      <c r="K17" s="3">
        <f t="shared" si="0"/>
        <v>1229000</v>
      </c>
      <c r="L17" s="3">
        <f t="shared" si="2"/>
        <v>193097.64035801464</v>
      </c>
      <c r="M17" s="10">
        <v>100.106076986434</v>
      </c>
      <c r="N17" s="10">
        <v>13.923302846199</v>
      </c>
    </row>
    <row r="18" spans="1:14" hidden="1" x14ac:dyDescent="0.3">
      <c r="A18" s="5">
        <v>38</v>
      </c>
      <c r="B18" s="5" t="str">
        <f>_xlfn.XLOOKUP(D18,'[1]Viirs77-Sol'!$C$2:$C$694,'[1]Viirs77-Sol'!$A$2:$A$694)</f>
        <v>TH-12</v>
      </c>
      <c r="C18" s="5" t="str">
        <f>_xlfn.XLOOKUP(D18,cleanprovinces!$B:$B,cleanprovinces!$A:$A)</f>
        <v>BKK&amp;VIC</v>
      </c>
      <c r="D18" s="5" t="s">
        <v>108</v>
      </c>
      <c r="E18" s="6">
        <v>2014</v>
      </c>
      <c r="F18" s="7" cm="1">
        <f t="array" ref="F18">_xlfn.XLOOKUP(D18&amp;E18,'[1]Viirs77-Sol'!$C$2:$C$694&amp;'[1]Viirs77-Sol'!$D$2:$D$694,'[1]Viirs77-Sol'!$E$2:$E$694)</f>
        <v>31957.05227</v>
      </c>
      <c r="G18" s="7" cm="1">
        <f t="array" ref="G18">_xlfn.XLOOKUP(B18&amp;E18,'[2]Viirs77-Mean'!$A$2:$A$694&amp;'[2]Viirs77-Mean'!$D$2:$D$694,'[2]Viirs77-Mean'!$E$2:$E$694)</f>
        <v>10.38091361</v>
      </c>
      <c r="H18" s="9" cm="1">
        <f t="array" ref="H18">_xlfn.XLOOKUP(D18,cleanprovinces!$B$2:$B$78,_xlfn.XLOOKUP(panel!E18,cleanprovinces!$C$1:$AC$1,cleanprovinces!$C$2:$AC$78,"no",0,1))</f>
        <v>190508</v>
      </c>
      <c r="I18" s="4">
        <f t="shared" si="1"/>
        <v>190508000000</v>
      </c>
      <c r="J18" s="3" cm="1">
        <f t="array" ref="J18">_xlfn.XLOOKUP(D18,[3]Sheet1!$B$2:$B$78,_xlfn.XLOOKUP(E18,[3]Sheet1!$C$1:$AC$1,[3]Sheet1!$C$2:$AC$78))</f>
        <v>1526</v>
      </c>
      <c r="K18" s="3">
        <f t="shared" si="0"/>
        <v>1526000</v>
      </c>
      <c r="L18" s="3">
        <f t="shared" si="2"/>
        <v>124841.41546526867</v>
      </c>
      <c r="M18" s="10">
        <v>100.392404257153</v>
      </c>
      <c r="N18" s="10">
        <v>13.92497444941</v>
      </c>
    </row>
    <row r="19" spans="1:14" hidden="1" x14ac:dyDescent="0.3">
      <c r="A19" s="5">
        <v>38</v>
      </c>
      <c r="B19" s="5" t="str">
        <f>_xlfn.XLOOKUP(D19,'[1]Viirs77-Sol'!$C$2:$C$694,'[1]Viirs77-Sol'!$A$2:$A$694)</f>
        <v>TH-12</v>
      </c>
      <c r="C19" s="5" t="str">
        <f>_xlfn.XLOOKUP(D19,cleanprovinces!$B:$B,cleanprovinces!$A:$A)</f>
        <v>BKK&amp;VIC</v>
      </c>
      <c r="D19" s="5" t="s">
        <v>108</v>
      </c>
      <c r="E19" s="6">
        <v>2015</v>
      </c>
      <c r="F19" s="7" cm="1">
        <f t="array" ref="F19">_xlfn.XLOOKUP(D19&amp;E19,'[1]Viirs77-Sol'!$C$2:$C$694&amp;'[1]Viirs77-Sol'!$D$2:$D$694,'[1]Viirs77-Sol'!$E$2:$E$694)</f>
        <v>35063.516100000001</v>
      </c>
      <c r="G19" s="7" cm="1">
        <f t="array" ref="G19">_xlfn.XLOOKUP(B19&amp;E19,'[2]Viirs77-Mean'!$A$2:$A$694&amp;'[2]Viirs77-Mean'!$D$2:$D$694,'[2]Viirs77-Mean'!$E$2:$E$694)</f>
        <v>11.39001584</v>
      </c>
      <c r="H19" s="9" cm="1">
        <f t="array" ref="H19">_xlfn.XLOOKUP(D19,cleanprovinces!$B$2:$B$78,_xlfn.XLOOKUP(panel!E19,cleanprovinces!$C$1:$AC$1,cleanprovinces!$C$2:$AC$78,"no",0,1))</f>
        <v>202227</v>
      </c>
      <c r="I19" s="4">
        <f t="shared" si="1"/>
        <v>202227000000</v>
      </c>
      <c r="J19" s="3" cm="1">
        <f t="array" ref="J19">_xlfn.XLOOKUP(D19,[3]Sheet1!$B$2:$B$78,_xlfn.XLOOKUP(E19,[3]Sheet1!$C$1:$AC$1,[3]Sheet1!$C$2:$AC$78))</f>
        <v>1574</v>
      </c>
      <c r="K19" s="3">
        <f t="shared" si="0"/>
        <v>1574000</v>
      </c>
      <c r="L19" s="3">
        <f t="shared" si="2"/>
        <v>128479.66963151206</v>
      </c>
      <c r="M19" s="10">
        <v>100.392404257153</v>
      </c>
      <c r="N19" s="10">
        <v>13.92497444941</v>
      </c>
    </row>
    <row r="20" spans="1:14" hidden="1" x14ac:dyDescent="0.3">
      <c r="A20" s="5">
        <v>38</v>
      </c>
      <c r="B20" s="5" t="str">
        <f>_xlfn.XLOOKUP(D20,'[1]Viirs77-Sol'!$C$2:$C$694,'[1]Viirs77-Sol'!$A$2:$A$694)</f>
        <v>TH-12</v>
      </c>
      <c r="C20" s="5" t="str">
        <f>_xlfn.XLOOKUP(D20,cleanprovinces!$B:$B,cleanprovinces!$A:$A)</f>
        <v>BKK&amp;VIC</v>
      </c>
      <c r="D20" s="5" t="s">
        <v>108</v>
      </c>
      <c r="E20" s="6">
        <v>2016</v>
      </c>
      <c r="F20" s="7" cm="1">
        <f t="array" ref="F20">_xlfn.XLOOKUP(D20&amp;E20,'[1]Viirs77-Sol'!$C$2:$C$694&amp;'[1]Viirs77-Sol'!$D$2:$D$694,'[1]Viirs77-Sol'!$E$2:$E$694)</f>
        <v>35991.196519999998</v>
      </c>
      <c r="G20" s="7" cm="1">
        <f t="array" ref="G20">_xlfn.XLOOKUP(B20&amp;E20,'[2]Viirs77-Mean'!$A$2:$A$694&amp;'[2]Viirs77-Mean'!$D$2:$D$694,'[2]Viirs77-Mean'!$E$2:$E$694)</f>
        <v>11.691363109999999</v>
      </c>
      <c r="H20" s="9" cm="1">
        <f t="array" ref="H20">_xlfn.XLOOKUP(D20,cleanprovinces!$B$2:$B$78,_xlfn.XLOOKUP(panel!E20,cleanprovinces!$C$1:$AC$1,cleanprovinces!$C$2:$AC$78,"no",0,1))</f>
        <v>210561</v>
      </c>
      <c r="I20" s="4">
        <f t="shared" si="1"/>
        <v>210561000000</v>
      </c>
      <c r="J20" s="3" cm="1">
        <f t="array" ref="J20">_xlfn.XLOOKUP(D20,[3]Sheet1!$B$2:$B$78,_xlfn.XLOOKUP(E20,[3]Sheet1!$C$1:$AC$1,[3]Sheet1!$C$2:$AC$78))</f>
        <v>1621</v>
      </c>
      <c r="K20" s="3">
        <f t="shared" si="0"/>
        <v>1621000</v>
      </c>
      <c r="L20" s="3">
        <f t="shared" si="2"/>
        <v>129895.74336829118</v>
      </c>
      <c r="M20" s="10">
        <v>100.392404257153</v>
      </c>
      <c r="N20" s="10">
        <v>13.92497444941</v>
      </c>
    </row>
    <row r="21" spans="1:14" hidden="1" x14ac:dyDescent="0.3">
      <c r="A21" s="5">
        <v>38</v>
      </c>
      <c r="B21" s="5" t="str">
        <f>_xlfn.XLOOKUP(D21,'[1]Viirs77-Sol'!$C$2:$C$694,'[1]Viirs77-Sol'!$A$2:$A$694)</f>
        <v>TH-12</v>
      </c>
      <c r="C21" s="5" t="str">
        <f>_xlfn.XLOOKUP(D21,cleanprovinces!$B:$B,cleanprovinces!$A:$A)</f>
        <v>BKK&amp;VIC</v>
      </c>
      <c r="D21" s="8" t="s">
        <v>108</v>
      </c>
      <c r="E21" s="6">
        <v>2017</v>
      </c>
      <c r="F21" s="7" cm="1">
        <f t="array" ref="F21">_xlfn.XLOOKUP(D21&amp;E21,'[1]Viirs77-Sol'!$C$2:$C$694&amp;'[1]Viirs77-Sol'!$D$2:$D$694,'[1]Viirs77-Sol'!$E$2:$E$694)</f>
        <v>37085.912790000002</v>
      </c>
      <c r="G21" s="7" cm="1">
        <f t="array" ref="G21">_xlfn.XLOOKUP(B21&amp;E21,'[2]Viirs77-Mean'!$A$2:$A$694&amp;'[2]Viirs77-Mean'!$D$2:$D$694,'[2]Viirs77-Mean'!$E$2:$E$694)</f>
        <v>12.04697022</v>
      </c>
      <c r="H21" s="9" cm="1">
        <f t="array" ref="H21">_xlfn.XLOOKUP(D21,cleanprovinces!$B$2:$B$78,_xlfn.XLOOKUP(panel!E21,cleanprovinces!$C$1:$AC$1,cleanprovinces!$C$2:$AC$78,"no",0,1))</f>
        <v>227811</v>
      </c>
      <c r="I21" s="4">
        <f t="shared" si="1"/>
        <v>227811000000</v>
      </c>
      <c r="J21" s="3" cm="1">
        <f t="array" ref="J21">_xlfn.XLOOKUP(D21,[3]Sheet1!$B$2:$B$78,_xlfn.XLOOKUP(E21,[3]Sheet1!$C$1:$AC$1,[3]Sheet1!$C$2:$AC$78))</f>
        <v>1693</v>
      </c>
      <c r="K21" s="3">
        <f t="shared" si="0"/>
        <v>1693000</v>
      </c>
      <c r="L21" s="3">
        <f t="shared" si="2"/>
        <v>134560.54341405787</v>
      </c>
      <c r="M21" s="10">
        <v>100.392404257153</v>
      </c>
      <c r="N21" s="10">
        <v>13.92497444941</v>
      </c>
    </row>
    <row r="22" spans="1:14" hidden="1" x14ac:dyDescent="0.3">
      <c r="A22" s="5">
        <v>38</v>
      </c>
      <c r="B22" s="5" t="str">
        <f>_xlfn.XLOOKUP(D22,'[1]Viirs77-Sol'!$C$2:$C$694,'[1]Viirs77-Sol'!$A$2:$A$694)</f>
        <v>TH-12</v>
      </c>
      <c r="C22" s="5" t="str">
        <f>_xlfn.XLOOKUP(D22,cleanprovinces!$B:$B,cleanprovinces!$A:$A)</f>
        <v>BKK&amp;VIC</v>
      </c>
      <c r="D22" s="5" t="s">
        <v>108</v>
      </c>
      <c r="E22" s="6">
        <v>2018</v>
      </c>
      <c r="F22" s="7" cm="1">
        <f t="array" ref="F22">_xlfn.XLOOKUP(D22&amp;E22,'[1]Viirs77-Sol'!$C$2:$C$694&amp;'[1]Viirs77-Sol'!$D$2:$D$694,'[1]Viirs77-Sol'!$E$2:$E$694)</f>
        <v>38448.395080000002</v>
      </c>
      <c r="G22" s="7" cm="1">
        <f t="array" ref="G22">_xlfn.XLOOKUP(B22&amp;E22,'[2]Viirs77-Mean'!$A$2:$A$694&amp;'[2]Viirs77-Mean'!$D$2:$D$694,'[2]Viirs77-Mean'!$E$2:$E$694)</f>
        <v>12.48955832</v>
      </c>
      <c r="H22" s="9" cm="1">
        <f t="array" ref="H22">_xlfn.XLOOKUP(D22,cleanprovinces!$B$2:$B$78,_xlfn.XLOOKUP(panel!E22,cleanprovinces!$C$1:$AC$1,cleanprovinces!$C$2:$AC$78,"no",0,1))</f>
        <v>231039</v>
      </c>
      <c r="I22" s="4">
        <f t="shared" si="1"/>
        <v>231039000000</v>
      </c>
      <c r="J22" s="3" cm="1">
        <f t="array" ref="J22">_xlfn.XLOOKUP(D22,[3]Sheet1!$B$2:$B$78,_xlfn.XLOOKUP(E22,[3]Sheet1!$C$1:$AC$1,[3]Sheet1!$C$2:$AC$78))</f>
        <v>1722</v>
      </c>
      <c r="K22" s="3">
        <f t="shared" si="0"/>
        <v>1722000</v>
      </c>
      <c r="L22" s="3">
        <f t="shared" si="2"/>
        <v>134168.98954703833</v>
      </c>
      <c r="M22" s="10">
        <v>100.392404257153</v>
      </c>
      <c r="N22" s="10">
        <v>13.92497444941</v>
      </c>
    </row>
    <row r="23" spans="1:14" hidden="1" x14ac:dyDescent="0.3">
      <c r="A23" s="5">
        <v>38</v>
      </c>
      <c r="B23" s="5" t="str">
        <f>_xlfn.XLOOKUP(D23,'[1]Viirs77-Sol'!$C$2:$C$694,'[1]Viirs77-Sol'!$A$2:$A$694)</f>
        <v>TH-12</v>
      </c>
      <c r="C23" s="5" t="str">
        <f>_xlfn.XLOOKUP(D23,cleanprovinces!$B:$B,cleanprovinces!$A:$A)</f>
        <v>BKK&amp;VIC</v>
      </c>
      <c r="D23" s="5" t="s">
        <v>108</v>
      </c>
      <c r="E23" s="6">
        <v>2019</v>
      </c>
      <c r="F23" s="7" cm="1">
        <f t="array" ref="F23">_xlfn.XLOOKUP(D23&amp;E23,'[1]Viirs77-Sol'!$C$2:$C$694&amp;'[1]Viirs77-Sol'!$D$2:$D$694,'[1]Viirs77-Sol'!$E$2:$E$694)</f>
        <v>39776.842989999997</v>
      </c>
      <c r="G23" s="7" cm="1">
        <f t="array" ref="G23">_xlfn.XLOOKUP(B23&amp;E23,'[2]Viirs77-Mean'!$A$2:$A$694&amp;'[2]Viirs77-Mean'!$D$2:$D$694,'[2]Viirs77-Mean'!$E$2:$E$694)</f>
        <v>12.921090700000001</v>
      </c>
      <c r="H23" s="9" cm="1">
        <f t="array" ref="H23">_xlfn.XLOOKUP(D23,cleanprovinces!$B$2:$B$78,_xlfn.XLOOKUP(panel!E23,cleanprovinces!$C$1:$AC$1,cleanprovinces!$C$2:$AC$78,"no",0,1))</f>
        <v>245207</v>
      </c>
      <c r="I23" s="4">
        <f t="shared" si="1"/>
        <v>245207000000</v>
      </c>
      <c r="J23" s="3" cm="1">
        <f t="array" ref="J23">_xlfn.XLOOKUP(D23,[3]Sheet1!$B$2:$B$78,_xlfn.XLOOKUP(E23,[3]Sheet1!$C$1:$AC$1,[3]Sheet1!$C$2:$AC$78))</f>
        <v>1752</v>
      </c>
      <c r="K23" s="3">
        <f t="shared" si="0"/>
        <v>1752000</v>
      </c>
      <c r="L23" s="3">
        <f t="shared" si="2"/>
        <v>139958.33333333334</v>
      </c>
      <c r="M23" s="10">
        <v>100.392404257153</v>
      </c>
      <c r="N23" s="10">
        <v>13.92497444941</v>
      </c>
    </row>
    <row r="24" spans="1:14" hidden="1" x14ac:dyDescent="0.3">
      <c r="A24" s="5">
        <v>38</v>
      </c>
      <c r="B24" s="5" t="str">
        <f>_xlfn.XLOOKUP(D24,'[1]Viirs77-Sol'!$C$2:$C$694,'[1]Viirs77-Sol'!$A$2:$A$694)</f>
        <v>TH-12</v>
      </c>
      <c r="C24" s="5" t="str">
        <f>_xlfn.XLOOKUP(D24,cleanprovinces!$B:$B,cleanprovinces!$A:$A)</f>
        <v>BKK&amp;VIC</v>
      </c>
      <c r="D24" s="5" t="s">
        <v>108</v>
      </c>
      <c r="E24" s="6">
        <v>2020</v>
      </c>
      <c r="F24" s="7" cm="1">
        <f t="array" ref="F24">_xlfn.XLOOKUP(D24&amp;E24,'[1]Viirs77-Sol'!$C$2:$C$694&amp;'[1]Viirs77-Sol'!$D$2:$D$694,'[1]Viirs77-Sol'!$E$2:$E$694)</f>
        <v>40549.50028</v>
      </c>
      <c r="G24" s="7" cm="1">
        <f t="array" ref="G24">_xlfn.XLOOKUP(B24&amp;E24,'[2]Viirs77-Mean'!$A$2:$A$694&amp;'[2]Viirs77-Mean'!$D$2:$D$694,'[2]Viirs77-Mean'!$E$2:$E$694)</f>
        <v>13.172080319999999</v>
      </c>
      <c r="H24" s="9" cm="1">
        <f t="array" ref="H24">_xlfn.XLOOKUP(D24,cleanprovinces!$B$2:$B$78,_xlfn.XLOOKUP(panel!E24,cleanprovinces!$C$1:$AC$1,cleanprovinces!$C$2:$AC$78,"no",0,1))</f>
        <v>244091</v>
      </c>
      <c r="I24" s="4">
        <f t="shared" si="1"/>
        <v>244091000000</v>
      </c>
      <c r="J24" s="3" cm="1">
        <f t="array" ref="J24">_xlfn.XLOOKUP(D24,[3]Sheet1!$B$2:$B$78,_xlfn.XLOOKUP(E24,[3]Sheet1!$C$1:$AC$1,[3]Sheet1!$C$2:$AC$78))</f>
        <v>1781</v>
      </c>
      <c r="K24" s="3">
        <f t="shared" si="0"/>
        <v>1781000</v>
      </c>
      <c r="L24" s="3">
        <f t="shared" si="2"/>
        <v>137052.77933745086</v>
      </c>
      <c r="M24" s="10">
        <v>100.392404257153</v>
      </c>
      <c r="N24" s="10">
        <v>13.92497444941</v>
      </c>
    </row>
    <row r="25" spans="1:14" hidden="1" x14ac:dyDescent="0.3">
      <c r="A25" s="5">
        <v>38</v>
      </c>
      <c r="B25" s="5" t="str">
        <f>_xlfn.XLOOKUP(D25,'[1]Viirs77-Sol'!$C$2:$C$694,'[1]Viirs77-Sol'!$A$2:$A$694)</f>
        <v>TH-12</v>
      </c>
      <c r="C25" s="5" t="str">
        <f>_xlfn.XLOOKUP(D25,cleanprovinces!$B:$B,cleanprovinces!$A:$A)</f>
        <v>BKK&amp;VIC</v>
      </c>
      <c r="D25" s="5" t="s">
        <v>108</v>
      </c>
      <c r="E25" s="6">
        <v>2021</v>
      </c>
      <c r="F25" s="7" cm="1">
        <f t="array" ref="F25">_xlfn.XLOOKUP(D25&amp;E25,'[1]Viirs77-Sol'!$C$2:$C$694&amp;'[1]Viirs77-Sol'!$D$2:$D$694,'[1]Viirs77-Sol'!$E$2:$E$694)</f>
        <v>42519.894189999999</v>
      </c>
      <c r="G25" s="7" cm="1">
        <f t="array" ref="G25">_xlfn.XLOOKUP(B25&amp;E25,'[2]Viirs77-Mean'!$A$2:$A$694&amp;'[2]Viirs77-Mean'!$D$2:$D$694,'[2]Viirs77-Mean'!$E$2:$E$694)</f>
        <v>13.812142140000001</v>
      </c>
      <c r="H25" s="9" cm="1">
        <f t="array" ref="H25">_xlfn.XLOOKUP(D25,cleanprovinces!$B$2:$B$78,_xlfn.XLOOKUP(panel!E25,cleanprovinces!$C$1:$AC$1,cleanprovinces!$C$2:$AC$78,"no",0,1))</f>
        <v>244519</v>
      </c>
      <c r="I25" s="4">
        <f t="shared" si="1"/>
        <v>244519000000</v>
      </c>
      <c r="J25" s="3" cm="1">
        <f t="array" ref="J25">_xlfn.XLOOKUP(D25,[3]Sheet1!$B$2:$B$78,_xlfn.XLOOKUP(E25,[3]Sheet1!$C$1:$AC$1,[3]Sheet1!$C$2:$AC$78))</f>
        <v>1810</v>
      </c>
      <c r="K25" s="3">
        <f t="shared" si="0"/>
        <v>1810000</v>
      </c>
      <c r="L25" s="3">
        <f t="shared" si="2"/>
        <v>135093.37016574584</v>
      </c>
      <c r="M25" s="10">
        <v>100.392404257153</v>
      </c>
      <c r="N25" s="10">
        <v>13.92497444941</v>
      </c>
    </row>
    <row r="26" spans="1:14" hidden="1" x14ac:dyDescent="0.3">
      <c r="A26" s="5">
        <v>58</v>
      </c>
      <c r="B26" s="5" t="str">
        <f>_xlfn.XLOOKUP(D26,'[1]Viirs77-Sol'!$C$2:$C$694,'[1]Viirs77-Sol'!$A$2:$A$694)</f>
        <v>TH-13</v>
      </c>
      <c r="C26" s="5" t="str">
        <f>_xlfn.XLOOKUP(D26,cleanprovinces!$B:$B,cleanprovinces!$A:$A)</f>
        <v>BKK&amp;VIC</v>
      </c>
      <c r="D26" s="5" t="s">
        <v>105</v>
      </c>
      <c r="E26" s="6">
        <v>2014</v>
      </c>
      <c r="F26" s="7" cm="1">
        <f t="array" ref="F26">_xlfn.XLOOKUP(D26&amp;E26,'[1]Viirs77-Sol'!$C$2:$C$694&amp;'[1]Viirs77-Sol'!$D$2:$D$694,'[1]Viirs77-Sol'!$E$2:$E$694)</f>
        <v>47738.116179999997</v>
      </c>
      <c r="G26" s="7" cm="1">
        <f t="array" ref="G26">_xlfn.XLOOKUP(B26&amp;E26,'[2]Viirs77-Mean'!$A$2:$A$694&amp;'[2]Viirs77-Mean'!$D$2:$D$694,'[2]Viirs77-Mean'!$E$2:$E$694)</f>
        <v>6.5437249939999997</v>
      </c>
      <c r="H26" s="9" cm="1">
        <f t="array" ref="H26">_xlfn.XLOOKUP(D26,cleanprovinces!$B$2:$B$78,_xlfn.XLOOKUP(panel!E26,cleanprovinces!$C$1:$AC$1,cleanprovinces!$C$2:$AC$78,"no",0,1))</f>
        <v>244092</v>
      </c>
      <c r="I26" s="4">
        <f t="shared" si="1"/>
        <v>244092000000</v>
      </c>
      <c r="J26" s="3" cm="1">
        <f t="array" ref="J26">_xlfn.XLOOKUP(D26,[3]Sheet1!$B$2:$B$78,_xlfn.XLOOKUP(E26,[3]Sheet1!$C$1:$AC$1,[3]Sheet1!$C$2:$AC$78))</f>
        <v>1514</v>
      </c>
      <c r="K26" s="3">
        <f t="shared" si="0"/>
        <v>1514000</v>
      </c>
      <c r="L26" s="3">
        <f t="shared" si="2"/>
        <v>161223.249669749</v>
      </c>
      <c r="M26" s="10">
        <v>100.682991476845</v>
      </c>
      <c r="N26" s="10">
        <v>14.065076543771699</v>
      </c>
    </row>
    <row r="27" spans="1:14" hidden="1" x14ac:dyDescent="0.3">
      <c r="A27" s="5">
        <v>58</v>
      </c>
      <c r="B27" s="5" t="str">
        <f>_xlfn.XLOOKUP(D27,'[1]Viirs77-Sol'!$C$2:$C$694,'[1]Viirs77-Sol'!$A$2:$A$694)</f>
        <v>TH-13</v>
      </c>
      <c r="C27" s="5" t="str">
        <f>_xlfn.XLOOKUP(D27,cleanprovinces!$B:$B,cleanprovinces!$A:$A)</f>
        <v>BKK&amp;VIC</v>
      </c>
      <c r="D27" s="5" t="s">
        <v>105</v>
      </c>
      <c r="E27" s="6">
        <v>2015</v>
      </c>
      <c r="F27" s="7" cm="1">
        <f t="array" ref="F27">_xlfn.XLOOKUP(D27&amp;E27,'[1]Viirs77-Sol'!$C$2:$C$694&amp;'[1]Viirs77-Sol'!$D$2:$D$694,'[1]Viirs77-Sol'!$E$2:$E$694)</f>
        <v>50469.464260000001</v>
      </c>
      <c r="G27" s="7" cm="1">
        <f t="array" ref="G27">_xlfn.XLOOKUP(B27&amp;E27,'[2]Viirs77-Mean'!$A$2:$A$694&amp;'[2]Viirs77-Mean'!$D$2:$D$694,'[2]Viirs77-Mean'!$E$2:$E$694)</f>
        <v>6.9181258320000003</v>
      </c>
      <c r="H27" s="9" cm="1">
        <f t="array" ref="H27">_xlfn.XLOOKUP(D27,cleanprovinces!$B$2:$B$78,_xlfn.XLOOKUP(panel!E27,cleanprovinces!$C$1:$AC$1,cleanprovinces!$C$2:$AC$78,"no",0,1))</f>
        <v>252514</v>
      </c>
      <c r="I27" s="4">
        <f t="shared" si="1"/>
        <v>252514000000</v>
      </c>
      <c r="J27" s="3" cm="1">
        <f t="array" ref="J27">_xlfn.XLOOKUP(D27,[3]Sheet1!$B$2:$B$78,_xlfn.XLOOKUP(E27,[3]Sheet1!$C$1:$AC$1,[3]Sheet1!$C$2:$AC$78))</f>
        <v>1565</v>
      </c>
      <c r="K27" s="3">
        <f t="shared" si="0"/>
        <v>1565000</v>
      </c>
      <c r="L27" s="3">
        <f t="shared" si="2"/>
        <v>161350.79872204474</v>
      </c>
      <c r="M27" s="10">
        <v>100.682991476845</v>
      </c>
      <c r="N27" s="10">
        <v>14.065076543771699</v>
      </c>
    </row>
    <row r="28" spans="1:14" hidden="1" x14ac:dyDescent="0.3">
      <c r="A28" s="5">
        <v>58</v>
      </c>
      <c r="B28" s="5" t="str">
        <f>_xlfn.XLOOKUP(D28,'[1]Viirs77-Sol'!$C$2:$C$694,'[1]Viirs77-Sol'!$A$2:$A$694)</f>
        <v>TH-13</v>
      </c>
      <c r="C28" s="5" t="str">
        <f>_xlfn.XLOOKUP(D28,cleanprovinces!$B:$B,cleanprovinces!$A:$A)</f>
        <v>BKK&amp;VIC</v>
      </c>
      <c r="D28" s="5" t="s">
        <v>105</v>
      </c>
      <c r="E28" s="6">
        <v>2016</v>
      </c>
      <c r="F28" s="7" cm="1">
        <f t="array" ref="F28">_xlfn.XLOOKUP(D28&amp;E28,'[1]Viirs77-Sol'!$C$2:$C$694&amp;'[1]Viirs77-Sol'!$D$2:$D$694,'[1]Viirs77-Sol'!$E$2:$E$694)</f>
        <v>51028.790229999999</v>
      </c>
      <c r="G28" s="7" cm="1">
        <f t="array" ref="G28">_xlfn.XLOOKUP(B28&amp;E28,'[2]Viirs77-Mean'!$A$2:$A$694&amp;'[2]Viirs77-Mean'!$D$2:$D$694,'[2]Viirs77-Mean'!$E$2:$E$694)</f>
        <v>6.9947957059999997</v>
      </c>
      <c r="H28" s="9" cm="1">
        <f t="array" ref="H28">_xlfn.XLOOKUP(D28,cleanprovinces!$B$2:$B$78,_xlfn.XLOOKUP(panel!E28,cleanprovinces!$C$1:$AC$1,cleanprovinces!$C$2:$AC$78,"no",0,1))</f>
        <v>254140</v>
      </c>
      <c r="I28" s="4">
        <f t="shared" si="1"/>
        <v>254140000000</v>
      </c>
      <c r="J28" s="3" cm="1">
        <f t="array" ref="J28">_xlfn.XLOOKUP(D28,[3]Sheet1!$B$2:$B$78,_xlfn.XLOOKUP(E28,[3]Sheet1!$C$1:$AC$1,[3]Sheet1!$C$2:$AC$78))</f>
        <v>1618</v>
      </c>
      <c r="K28" s="3">
        <f t="shared" si="0"/>
        <v>1618000</v>
      </c>
      <c r="L28" s="3">
        <f t="shared" si="2"/>
        <v>157070.45735475895</v>
      </c>
      <c r="M28" s="10">
        <v>100.682991476845</v>
      </c>
      <c r="N28" s="10">
        <v>14.065076543771699</v>
      </c>
    </row>
    <row r="29" spans="1:14" hidden="1" x14ac:dyDescent="0.3">
      <c r="A29" s="5">
        <v>58</v>
      </c>
      <c r="B29" s="5" t="str">
        <f>_xlfn.XLOOKUP(D29,'[1]Viirs77-Sol'!$C$2:$C$694,'[1]Viirs77-Sol'!$A$2:$A$694)</f>
        <v>TH-13</v>
      </c>
      <c r="C29" s="5" t="str">
        <f>_xlfn.XLOOKUP(D29,cleanprovinces!$B:$B,cleanprovinces!$A:$A)</f>
        <v>BKK&amp;VIC</v>
      </c>
      <c r="D29" s="5" t="s">
        <v>105</v>
      </c>
      <c r="E29" s="6">
        <v>2017</v>
      </c>
      <c r="F29" s="7" cm="1">
        <f t="array" ref="F29">_xlfn.XLOOKUP(D29&amp;E29,'[1]Viirs77-Sol'!$C$2:$C$694&amp;'[1]Viirs77-Sol'!$D$2:$D$694,'[1]Viirs77-Sol'!$E$2:$E$694)</f>
        <v>54732.099540000003</v>
      </c>
      <c r="G29" s="7" cm="1">
        <f t="array" ref="G29">_xlfn.XLOOKUP(B29&amp;E29,'[2]Viirs77-Mean'!$A$2:$A$694&amp;'[2]Viirs77-Mean'!$D$2:$D$694,'[2]Viirs77-Mean'!$E$2:$E$694)</f>
        <v>7.5024285920000002</v>
      </c>
      <c r="H29" s="9" cm="1">
        <f t="array" ref="H29">_xlfn.XLOOKUP(D29,cleanprovinces!$B$2:$B$78,_xlfn.XLOOKUP(panel!E29,cleanprovinces!$C$1:$AC$1,cleanprovinces!$C$2:$AC$78,"no",0,1))</f>
        <v>280179</v>
      </c>
      <c r="I29" s="4">
        <f t="shared" si="1"/>
        <v>280179000000</v>
      </c>
      <c r="J29" s="3" cm="1">
        <f t="array" ref="J29">_xlfn.XLOOKUP(D29,[3]Sheet1!$B$2:$B$78,_xlfn.XLOOKUP(E29,[3]Sheet1!$C$1:$AC$1,[3]Sheet1!$C$2:$AC$78))</f>
        <v>1672</v>
      </c>
      <c r="K29" s="3">
        <f t="shared" si="0"/>
        <v>1672000</v>
      </c>
      <c r="L29" s="3">
        <f t="shared" si="2"/>
        <v>167571.17224880384</v>
      </c>
      <c r="M29" s="10">
        <v>100.682991476845</v>
      </c>
      <c r="N29" s="10">
        <v>14.065076543771699</v>
      </c>
    </row>
    <row r="30" spans="1:14" hidden="1" x14ac:dyDescent="0.3">
      <c r="A30" s="5">
        <v>58</v>
      </c>
      <c r="B30" s="5" t="str">
        <f>_xlfn.XLOOKUP(D30,'[1]Viirs77-Sol'!$C$2:$C$694,'[1]Viirs77-Sol'!$A$2:$A$694)</f>
        <v>TH-13</v>
      </c>
      <c r="C30" s="5" t="str">
        <f>_xlfn.XLOOKUP(D30,cleanprovinces!$B:$B,cleanprovinces!$A:$A)</f>
        <v>BKK&amp;VIC</v>
      </c>
      <c r="D30" s="5" t="s">
        <v>105</v>
      </c>
      <c r="E30" s="6">
        <v>2018</v>
      </c>
      <c r="F30" s="7" cm="1">
        <f t="array" ref="F30">_xlfn.XLOOKUP(D30&amp;E30,'[1]Viirs77-Sol'!$C$2:$C$694&amp;'[1]Viirs77-Sol'!$D$2:$D$694,'[1]Viirs77-Sol'!$E$2:$E$694)</f>
        <v>57479.778610000001</v>
      </c>
      <c r="G30" s="7" cm="1">
        <f t="array" ref="G30">_xlfn.XLOOKUP(B30&amp;E30,'[2]Viirs77-Mean'!$A$2:$A$694&amp;'[2]Viirs77-Mean'!$D$2:$D$694,'[2]Viirs77-Mean'!$E$2:$E$694)</f>
        <v>7.879068008</v>
      </c>
      <c r="H30" s="9" cm="1">
        <f t="array" ref="H30">_xlfn.XLOOKUP(D30,cleanprovinces!$B$2:$B$78,_xlfn.XLOOKUP(panel!E30,cleanprovinces!$C$1:$AC$1,cleanprovinces!$C$2:$AC$78,"no",0,1))</f>
        <v>291468</v>
      </c>
      <c r="I30" s="4">
        <f t="shared" si="1"/>
        <v>291468000000</v>
      </c>
      <c r="J30" s="3" cm="1">
        <f t="array" ref="J30">_xlfn.XLOOKUP(D30,[3]Sheet1!$B$2:$B$78,_xlfn.XLOOKUP(E30,[3]Sheet1!$C$1:$AC$1,[3]Sheet1!$C$2:$AC$78))</f>
        <v>1729</v>
      </c>
      <c r="K30" s="3">
        <f t="shared" si="0"/>
        <v>1729000</v>
      </c>
      <c r="L30" s="3">
        <f t="shared" si="2"/>
        <v>168576.05552342394</v>
      </c>
      <c r="M30" s="10">
        <v>100.682991476845</v>
      </c>
      <c r="N30" s="10">
        <v>14.065076543771699</v>
      </c>
    </row>
    <row r="31" spans="1:14" hidden="1" x14ac:dyDescent="0.3">
      <c r="A31" s="5">
        <v>58</v>
      </c>
      <c r="B31" s="5" t="str">
        <f>_xlfn.XLOOKUP(D31,'[1]Viirs77-Sol'!$C$2:$C$694,'[1]Viirs77-Sol'!$A$2:$A$694)</f>
        <v>TH-13</v>
      </c>
      <c r="C31" s="5" t="str">
        <f>_xlfn.XLOOKUP(D31,cleanprovinces!$B:$B,cleanprovinces!$A:$A)</f>
        <v>BKK&amp;VIC</v>
      </c>
      <c r="D31" s="5" t="s">
        <v>105</v>
      </c>
      <c r="E31" s="6">
        <v>2019</v>
      </c>
      <c r="F31" s="7" cm="1">
        <f t="array" ref="F31">_xlfn.XLOOKUP(D31&amp;E31,'[1]Viirs77-Sol'!$C$2:$C$694&amp;'[1]Viirs77-Sol'!$D$2:$D$694,'[1]Viirs77-Sol'!$E$2:$E$694)</f>
        <v>61182.710480000002</v>
      </c>
      <c r="G31" s="7" cm="1">
        <f t="array" ref="G31">_xlfn.XLOOKUP(B31&amp;E31,'[2]Viirs77-Mean'!$A$2:$A$694&amp;'[2]Viirs77-Mean'!$D$2:$D$694,'[2]Viirs77-Mean'!$E$2:$E$694)</f>
        <v>8.3866491560000007</v>
      </c>
      <c r="H31" s="9" cm="1">
        <f t="array" ref="H31">_xlfn.XLOOKUP(D31,cleanprovinces!$B$2:$B$78,_xlfn.XLOOKUP(panel!E31,cleanprovinces!$C$1:$AC$1,cleanprovinces!$C$2:$AC$78,"no",0,1))</f>
        <v>312627</v>
      </c>
      <c r="I31" s="4">
        <f t="shared" si="1"/>
        <v>312627000000</v>
      </c>
      <c r="J31" s="3" cm="1">
        <f t="array" ref="J31">_xlfn.XLOOKUP(D31,[3]Sheet1!$B$2:$B$78,_xlfn.XLOOKUP(E31,[3]Sheet1!$C$1:$AC$1,[3]Sheet1!$C$2:$AC$78))</f>
        <v>1758</v>
      </c>
      <c r="K31" s="3">
        <f t="shared" si="0"/>
        <v>1758000</v>
      </c>
      <c r="L31" s="3">
        <f t="shared" si="2"/>
        <v>177831.05802047782</v>
      </c>
      <c r="M31" s="10">
        <v>100.682991476845</v>
      </c>
      <c r="N31" s="10">
        <v>14.065076543771699</v>
      </c>
    </row>
    <row r="32" spans="1:14" hidden="1" x14ac:dyDescent="0.3">
      <c r="A32" s="5">
        <v>58</v>
      </c>
      <c r="B32" s="5" t="str">
        <f>_xlfn.XLOOKUP(D32,'[1]Viirs77-Sol'!$C$2:$C$694,'[1]Viirs77-Sol'!$A$2:$A$694)</f>
        <v>TH-13</v>
      </c>
      <c r="C32" s="5" t="str">
        <f>_xlfn.XLOOKUP(D32,cleanprovinces!$B:$B,cleanprovinces!$A:$A)</f>
        <v>BKK&amp;VIC</v>
      </c>
      <c r="D32" s="5" t="s">
        <v>105</v>
      </c>
      <c r="E32" s="6">
        <v>2020</v>
      </c>
      <c r="F32" s="7" cm="1">
        <f t="array" ref="F32">_xlfn.XLOOKUP(D32&amp;E32,'[1]Viirs77-Sol'!$C$2:$C$694&amp;'[1]Viirs77-Sol'!$D$2:$D$694,'[1]Viirs77-Sol'!$E$2:$E$694)</f>
        <v>60924.005669999999</v>
      </c>
      <c r="G32" s="7" cm="1">
        <f t="array" ref="G32">_xlfn.XLOOKUP(B32&amp;E32,'[2]Viirs77-Mean'!$A$2:$A$694&amp;'[2]Viirs77-Mean'!$D$2:$D$694,'[2]Viirs77-Mean'!$E$2:$E$694)</f>
        <v>8.3511870720000001</v>
      </c>
      <c r="H32" s="9" cm="1">
        <f t="array" ref="H32">_xlfn.XLOOKUP(D32,cleanprovinces!$B$2:$B$78,_xlfn.XLOOKUP(panel!E32,cleanprovinces!$C$1:$AC$1,cleanprovinces!$C$2:$AC$78,"no",0,1))</f>
        <v>297689</v>
      </c>
      <c r="I32" s="4">
        <f t="shared" si="1"/>
        <v>297689000000</v>
      </c>
      <c r="J32" s="3" cm="1">
        <f t="array" ref="J32">_xlfn.XLOOKUP(D32,[3]Sheet1!$B$2:$B$78,_xlfn.XLOOKUP(E32,[3]Sheet1!$C$1:$AC$1,[3]Sheet1!$C$2:$AC$78))</f>
        <v>1786</v>
      </c>
      <c r="K32" s="3">
        <f t="shared" si="0"/>
        <v>1786000</v>
      </c>
      <c r="L32" s="3">
        <f t="shared" si="2"/>
        <v>166679.17133258679</v>
      </c>
      <c r="M32" s="10">
        <v>100.682991476845</v>
      </c>
      <c r="N32" s="10">
        <v>14.065076543771699</v>
      </c>
    </row>
    <row r="33" spans="1:14" hidden="1" x14ac:dyDescent="0.3">
      <c r="A33" s="5">
        <v>58</v>
      </c>
      <c r="B33" s="5" t="str">
        <f>_xlfn.XLOOKUP(D33,'[1]Viirs77-Sol'!$C$2:$C$694,'[1]Viirs77-Sol'!$A$2:$A$694)</f>
        <v>TH-13</v>
      </c>
      <c r="C33" s="5" t="str">
        <f>_xlfn.XLOOKUP(D33,cleanprovinces!$B:$B,cleanprovinces!$A:$A)</f>
        <v>BKK&amp;VIC</v>
      </c>
      <c r="D33" s="5" t="s">
        <v>105</v>
      </c>
      <c r="E33" s="6">
        <v>2021</v>
      </c>
      <c r="F33" s="7" cm="1">
        <f t="array" ref="F33">_xlfn.XLOOKUP(D33&amp;E33,'[1]Viirs77-Sol'!$C$2:$C$694&amp;'[1]Viirs77-Sol'!$D$2:$D$694,'[1]Viirs77-Sol'!$E$2:$E$694)</f>
        <v>65183.590129999997</v>
      </c>
      <c r="G33" s="7" cm="1">
        <f t="array" ref="G33">_xlfn.XLOOKUP(B33&amp;E33,'[2]Viirs77-Mean'!$A$2:$A$694&amp;'[2]Viirs77-Mean'!$D$2:$D$694,'[2]Viirs77-Mean'!$E$2:$E$694)</f>
        <v>8.9350716380000001</v>
      </c>
      <c r="H33" s="9" cm="1">
        <f t="array" ref="H33">_xlfn.XLOOKUP(D33,cleanprovinces!$B$2:$B$78,_xlfn.XLOOKUP(panel!E33,cleanprovinces!$C$1:$AC$1,cleanprovinces!$C$2:$AC$78,"no",0,1))</f>
        <v>295322</v>
      </c>
      <c r="I33" s="4">
        <f t="shared" si="1"/>
        <v>295322000000</v>
      </c>
      <c r="J33" s="3" cm="1">
        <f t="array" ref="J33">_xlfn.XLOOKUP(D33,[3]Sheet1!$B$2:$B$78,_xlfn.XLOOKUP(E33,[3]Sheet1!$C$1:$AC$1,[3]Sheet1!$C$2:$AC$78))</f>
        <v>1814</v>
      </c>
      <c r="K33" s="3">
        <f t="shared" si="0"/>
        <v>1814000</v>
      </c>
      <c r="L33" s="3">
        <f t="shared" si="2"/>
        <v>162801.54355016537</v>
      </c>
      <c r="M33" s="10">
        <v>100.682991476845</v>
      </c>
      <c r="N33" s="10">
        <v>14.065076543771699</v>
      </c>
    </row>
    <row r="34" spans="1:14" hidden="1" x14ac:dyDescent="0.3">
      <c r="A34" s="5">
        <v>69</v>
      </c>
      <c r="B34" s="5" t="str">
        <f>_xlfn.XLOOKUP(D34,'[1]Viirs77-Sol'!$C$2:$C$694,'[1]Viirs77-Sol'!$A$2:$A$694)</f>
        <v>TH-11</v>
      </c>
      <c r="C34" s="5" t="str">
        <f>_xlfn.XLOOKUP(D34,cleanprovinces!$B:$B,cleanprovinces!$A:$A)</f>
        <v>BKK&amp;VIC</v>
      </c>
      <c r="D34" s="5" t="s">
        <v>104</v>
      </c>
      <c r="E34" s="6">
        <v>2014</v>
      </c>
      <c r="F34" s="7" cm="1">
        <f t="array" ref="F34">_xlfn.XLOOKUP(D34&amp;E34,'[1]Viirs77-Sol'!$C$2:$C$694&amp;'[1]Viirs77-Sol'!$D$2:$D$694,'[1]Viirs77-Sol'!$E$2:$E$694)</f>
        <v>58651.171439999998</v>
      </c>
      <c r="G34" s="7" cm="1">
        <f t="array" ref="G34">_xlfn.XLOOKUP(B34&amp;E34,'[2]Viirs77-Mean'!$A$2:$A$694&amp;'[2]Viirs77-Mean'!$D$2:$D$694,'[2]Viirs77-Mean'!$E$2:$E$694)</f>
        <v>13.03203776</v>
      </c>
      <c r="H34" s="9" cm="1">
        <f t="array" ref="H34">_xlfn.XLOOKUP(D34,cleanprovinces!$B$2:$B$78,_xlfn.XLOOKUP(panel!E34,cleanprovinces!$C$1:$AC$1,cleanprovinces!$C$2:$AC$78,"no",0,1))</f>
        <v>537007</v>
      </c>
      <c r="I34" s="4">
        <f t="shared" si="1"/>
        <v>537007000000</v>
      </c>
      <c r="J34" s="3" cm="1">
        <f t="array" ref="J34">_xlfn.XLOOKUP(D34,[3]Sheet1!$B$2:$B$78,_xlfn.XLOOKUP(E34,[3]Sheet1!$C$1:$AC$1,[3]Sheet1!$C$2:$AC$78))</f>
        <v>1990</v>
      </c>
      <c r="K34" s="3">
        <f t="shared" si="0"/>
        <v>1990000</v>
      </c>
      <c r="L34" s="3">
        <f t="shared" si="2"/>
        <v>269852.7638190955</v>
      </c>
      <c r="M34" s="10">
        <v>100.709792730689</v>
      </c>
      <c r="N34" s="10">
        <v>13.596484024758601</v>
      </c>
    </row>
    <row r="35" spans="1:14" hidden="1" x14ac:dyDescent="0.3">
      <c r="A35" s="5">
        <v>69</v>
      </c>
      <c r="B35" s="5" t="str">
        <f>_xlfn.XLOOKUP(D35,'[1]Viirs77-Sol'!$C$2:$C$694,'[1]Viirs77-Sol'!$A$2:$A$694)</f>
        <v>TH-11</v>
      </c>
      <c r="C35" s="5" t="str">
        <f>_xlfn.XLOOKUP(D35,cleanprovinces!$B:$B,cleanprovinces!$A:$A)</f>
        <v>BKK&amp;VIC</v>
      </c>
      <c r="D35" s="5" t="s">
        <v>104</v>
      </c>
      <c r="E35" s="6">
        <v>2015</v>
      </c>
      <c r="F35" s="7" cm="1">
        <f t="array" ref="F35">_xlfn.XLOOKUP(D35&amp;E35,'[1]Viirs77-Sol'!$C$2:$C$694&amp;'[1]Viirs77-Sol'!$D$2:$D$694,'[1]Viirs77-Sol'!$E$2:$E$694)</f>
        <v>60939.41444</v>
      </c>
      <c r="G35" s="7" cm="1">
        <f t="array" ref="G35">_xlfn.XLOOKUP(B35&amp;E35,'[2]Viirs77-Mean'!$A$2:$A$694&amp;'[2]Viirs77-Mean'!$D$2:$D$694,'[2]Viirs77-Mean'!$E$2:$E$694)</f>
        <v>13.540475499999999</v>
      </c>
      <c r="H35" s="9" cm="1">
        <f t="array" ref="H35">_xlfn.XLOOKUP(D35,cleanprovinces!$B$2:$B$78,_xlfn.XLOOKUP(panel!E35,cleanprovinces!$C$1:$AC$1,cleanprovinces!$C$2:$AC$78,"no",0,1))</f>
        <v>548898</v>
      </c>
      <c r="I35" s="4">
        <f t="shared" si="1"/>
        <v>548898000000</v>
      </c>
      <c r="J35" s="3" cm="1">
        <f t="array" ref="J35">_xlfn.XLOOKUP(D35,[3]Sheet1!$B$2:$B$78,_xlfn.XLOOKUP(E35,[3]Sheet1!$C$1:$AC$1,[3]Sheet1!$C$2:$AC$78))</f>
        <v>2031</v>
      </c>
      <c r="K35" s="3">
        <f t="shared" si="0"/>
        <v>2031000</v>
      </c>
      <c r="L35" s="3">
        <f t="shared" si="2"/>
        <v>270259.97045790253</v>
      </c>
      <c r="M35" s="10">
        <v>100.709792730689</v>
      </c>
      <c r="N35" s="10">
        <v>13.596484024758601</v>
      </c>
    </row>
    <row r="36" spans="1:14" hidden="1" x14ac:dyDescent="0.3">
      <c r="A36" s="5">
        <v>69</v>
      </c>
      <c r="B36" s="5" t="str">
        <f>_xlfn.XLOOKUP(D36,'[1]Viirs77-Sol'!$C$2:$C$694,'[1]Viirs77-Sol'!$A$2:$A$694)</f>
        <v>TH-11</v>
      </c>
      <c r="C36" s="5" t="str">
        <f>_xlfn.XLOOKUP(D36,cleanprovinces!$B:$B,cleanprovinces!$A:$A)</f>
        <v>BKK&amp;VIC</v>
      </c>
      <c r="D36" s="5" t="s">
        <v>104</v>
      </c>
      <c r="E36" s="6">
        <v>2016</v>
      </c>
      <c r="F36" s="7" cm="1">
        <f t="array" ref="F36">_xlfn.XLOOKUP(D36&amp;E36,'[1]Viirs77-Sol'!$C$2:$C$694&amp;'[1]Viirs77-Sol'!$D$2:$D$694,'[1]Viirs77-Sol'!$E$2:$E$694)</f>
        <v>61629.698729999996</v>
      </c>
      <c r="G36" s="7" cm="1">
        <f t="array" ref="G36">_xlfn.XLOOKUP(B36&amp;E36,'[2]Viirs77-Mean'!$A$2:$A$694&amp;'[2]Viirs77-Mean'!$D$2:$D$694,'[2]Viirs77-Mean'!$E$2:$E$694)</f>
        <v>13.6938537</v>
      </c>
      <c r="H36" s="9" cm="1">
        <f t="array" ref="H36">_xlfn.XLOOKUP(D36,cleanprovinces!$B$2:$B$78,_xlfn.XLOOKUP(panel!E36,cleanprovinces!$C$1:$AC$1,cleanprovinces!$C$2:$AC$78,"no",0,1))</f>
        <v>551400</v>
      </c>
      <c r="I36" s="4">
        <f t="shared" si="1"/>
        <v>551400000000</v>
      </c>
      <c r="J36" s="3" cm="1">
        <f t="array" ref="J36">_xlfn.XLOOKUP(D36,[3]Sheet1!$B$2:$B$78,_xlfn.XLOOKUP(E36,[3]Sheet1!$C$1:$AC$1,[3]Sheet1!$C$2:$AC$78))</f>
        <v>2075</v>
      </c>
      <c r="K36" s="3">
        <f t="shared" si="0"/>
        <v>2075000</v>
      </c>
      <c r="L36" s="3">
        <f t="shared" si="2"/>
        <v>265734.93975903612</v>
      </c>
      <c r="M36" s="10">
        <v>100.709792730689</v>
      </c>
      <c r="N36" s="10">
        <v>13.596484024758601</v>
      </c>
    </row>
    <row r="37" spans="1:14" hidden="1" x14ac:dyDescent="0.3">
      <c r="A37" s="5">
        <v>69</v>
      </c>
      <c r="B37" s="5" t="str">
        <f>_xlfn.XLOOKUP(D37,'[1]Viirs77-Sol'!$C$2:$C$694,'[1]Viirs77-Sol'!$A$2:$A$694)</f>
        <v>TH-11</v>
      </c>
      <c r="C37" s="5" t="str">
        <f>_xlfn.XLOOKUP(D37,cleanprovinces!$B:$B,cleanprovinces!$A:$A)</f>
        <v>BKK&amp;VIC</v>
      </c>
      <c r="D37" s="5" t="s">
        <v>104</v>
      </c>
      <c r="E37" s="6">
        <v>2017</v>
      </c>
      <c r="F37" s="7" cm="1">
        <f t="array" ref="F37">_xlfn.XLOOKUP(D37&amp;E37,'[1]Viirs77-Sol'!$C$2:$C$694&amp;'[1]Viirs77-Sol'!$D$2:$D$694,'[1]Viirs77-Sol'!$E$2:$E$694)</f>
        <v>64661.929060000002</v>
      </c>
      <c r="G37" s="7" cm="1">
        <f t="array" ref="G37">_xlfn.XLOOKUP(B37&amp;E37,'[2]Viirs77-Mean'!$A$2:$A$694&amp;'[2]Viirs77-Mean'!$D$2:$D$694,'[2]Viirs77-Mean'!$E$2:$E$694)</f>
        <v>14.36760222</v>
      </c>
      <c r="H37" s="9" cm="1">
        <f t="array" ref="H37">_xlfn.XLOOKUP(D37,cleanprovinces!$B$2:$B$78,_xlfn.XLOOKUP(panel!E37,cleanprovinces!$C$1:$AC$1,cleanprovinces!$C$2:$AC$78,"no",0,1))</f>
        <v>571399</v>
      </c>
      <c r="I37" s="4">
        <f t="shared" si="1"/>
        <v>571399000000</v>
      </c>
      <c r="J37" s="3" cm="1">
        <f t="array" ref="J37">_xlfn.XLOOKUP(D37,[3]Sheet1!$B$2:$B$78,_xlfn.XLOOKUP(E37,[3]Sheet1!$C$1:$AC$1,[3]Sheet1!$C$2:$AC$78))</f>
        <v>2132</v>
      </c>
      <c r="K37" s="3">
        <f t="shared" si="0"/>
        <v>2132000</v>
      </c>
      <c r="L37" s="3">
        <f t="shared" si="2"/>
        <v>268010.78799249529</v>
      </c>
      <c r="M37" s="10">
        <v>100.709792730689</v>
      </c>
      <c r="N37" s="10">
        <v>13.596484024758601</v>
      </c>
    </row>
    <row r="38" spans="1:14" hidden="1" x14ac:dyDescent="0.3">
      <c r="A38" s="5">
        <v>69</v>
      </c>
      <c r="B38" s="5" t="str">
        <f>_xlfn.XLOOKUP(D38,'[1]Viirs77-Sol'!$C$2:$C$694,'[1]Viirs77-Sol'!$A$2:$A$694)</f>
        <v>TH-11</v>
      </c>
      <c r="C38" s="5" t="str">
        <f>_xlfn.XLOOKUP(D38,cleanprovinces!$B:$B,cleanprovinces!$A:$A)</f>
        <v>BKK&amp;VIC</v>
      </c>
      <c r="D38" s="5" t="s">
        <v>104</v>
      </c>
      <c r="E38" s="6">
        <v>2018</v>
      </c>
      <c r="F38" s="7" cm="1">
        <f t="array" ref="F38">_xlfn.XLOOKUP(D38&amp;E38,'[1]Viirs77-Sol'!$C$2:$C$694&amp;'[1]Viirs77-Sol'!$D$2:$D$694,'[1]Viirs77-Sol'!$E$2:$E$694)</f>
        <v>66894.802370000005</v>
      </c>
      <c r="G38" s="7" cm="1">
        <f t="array" ref="G38">_xlfn.XLOOKUP(B38&amp;E38,'[2]Viirs77-Mean'!$A$2:$A$694&amp;'[2]Viirs77-Mean'!$D$2:$D$694,'[2]Viirs77-Mean'!$E$2:$E$694)</f>
        <v>14.86373706</v>
      </c>
      <c r="H38" s="9" cm="1">
        <f t="array" ref="H38">_xlfn.XLOOKUP(D38,cleanprovinces!$B$2:$B$78,_xlfn.XLOOKUP(panel!E38,cleanprovinces!$C$1:$AC$1,cleanprovinces!$C$2:$AC$78,"no",0,1))</f>
        <v>616458</v>
      </c>
      <c r="I38" s="4">
        <f t="shared" si="1"/>
        <v>616458000000</v>
      </c>
      <c r="J38" s="3" cm="1">
        <f t="array" ref="J38">_xlfn.XLOOKUP(D38,[3]Sheet1!$B$2:$B$78,_xlfn.XLOOKUP(E38,[3]Sheet1!$C$1:$AC$1,[3]Sheet1!$C$2:$AC$78))</f>
        <v>2171</v>
      </c>
      <c r="K38" s="3">
        <f t="shared" si="0"/>
        <v>2171000</v>
      </c>
      <c r="L38" s="3">
        <f t="shared" si="2"/>
        <v>283951.17457392905</v>
      </c>
      <c r="M38" s="10">
        <v>100.709792730689</v>
      </c>
      <c r="N38" s="10">
        <v>13.596484024758601</v>
      </c>
    </row>
    <row r="39" spans="1:14" hidden="1" x14ac:dyDescent="0.3">
      <c r="A39" s="5">
        <v>69</v>
      </c>
      <c r="B39" s="5" t="str">
        <f>_xlfn.XLOOKUP(D39,'[1]Viirs77-Sol'!$C$2:$C$694,'[1]Viirs77-Sol'!$A$2:$A$694)</f>
        <v>TH-11</v>
      </c>
      <c r="C39" s="5" t="str">
        <f>_xlfn.XLOOKUP(D39,cleanprovinces!$B:$B,cleanprovinces!$A:$A)</f>
        <v>BKK&amp;VIC</v>
      </c>
      <c r="D39" s="5" t="s">
        <v>104</v>
      </c>
      <c r="E39" s="6">
        <v>2019</v>
      </c>
      <c r="F39" s="7" cm="1">
        <f t="array" ref="F39">_xlfn.XLOOKUP(D39&amp;E39,'[1]Viirs77-Sol'!$C$2:$C$694&amp;'[1]Viirs77-Sol'!$D$2:$D$694,'[1]Viirs77-Sol'!$E$2:$E$694)</f>
        <v>71363.53314</v>
      </c>
      <c r="G39" s="7" cm="1">
        <f t="array" ref="G39">_xlfn.XLOOKUP(B39&amp;E39,'[2]Viirs77-Mean'!$A$2:$A$694&amp;'[2]Viirs77-Mean'!$D$2:$D$694,'[2]Viirs77-Mean'!$E$2:$E$694)</f>
        <v>15.85666979</v>
      </c>
      <c r="H39" s="9" cm="1">
        <f t="array" ref="H39">_xlfn.XLOOKUP(D39,cleanprovinces!$B$2:$B$78,_xlfn.XLOOKUP(panel!E39,cleanprovinces!$C$1:$AC$1,cleanprovinces!$C$2:$AC$78,"no",0,1))</f>
        <v>603916</v>
      </c>
      <c r="I39" s="4">
        <f t="shared" si="1"/>
        <v>603916000000</v>
      </c>
      <c r="J39" s="3" cm="1">
        <f t="array" ref="J39">_xlfn.XLOOKUP(D39,[3]Sheet1!$B$2:$B$78,_xlfn.XLOOKUP(E39,[3]Sheet1!$C$1:$AC$1,[3]Sheet1!$C$2:$AC$78))</f>
        <v>2211</v>
      </c>
      <c r="K39" s="3">
        <f t="shared" si="0"/>
        <v>2211000</v>
      </c>
      <c r="L39" s="3">
        <f t="shared" si="2"/>
        <v>273141.56490275892</v>
      </c>
      <c r="M39" s="10">
        <v>100.709792730689</v>
      </c>
      <c r="N39" s="10">
        <v>13.596484024758601</v>
      </c>
    </row>
    <row r="40" spans="1:14" hidden="1" x14ac:dyDescent="0.3">
      <c r="A40" s="5">
        <v>69</v>
      </c>
      <c r="B40" s="5" t="str">
        <f>_xlfn.XLOOKUP(D40,'[1]Viirs77-Sol'!$C$2:$C$694,'[1]Viirs77-Sol'!$A$2:$A$694)</f>
        <v>TH-11</v>
      </c>
      <c r="C40" s="5" t="str">
        <f>_xlfn.XLOOKUP(D40,cleanprovinces!$B:$B,cleanprovinces!$A:$A)</f>
        <v>BKK&amp;VIC</v>
      </c>
      <c r="D40" s="5" t="s">
        <v>104</v>
      </c>
      <c r="E40" s="6">
        <v>2020</v>
      </c>
      <c r="F40" s="7" cm="1">
        <f t="array" ref="F40">_xlfn.XLOOKUP(D40&amp;E40,'[1]Viirs77-Sol'!$C$2:$C$694&amp;'[1]Viirs77-Sol'!$D$2:$D$694,'[1]Viirs77-Sol'!$E$2:$E$694)</f>
        <v>74393.111640000003</v>
      </c>
      <c r="G40" s="7" cm="1">
        <f t="array" ref="G40">_xlfn.XLOOKUP(B40&amp;E40,'[2]Viirs77-Mean'!$A$2:$A$694&amp;'[2]Viirs77-Mean'!$D$2:$D$694,'[2]Viirs77-Mean'!$E$2:$E$694)</f>
        <v>16.52982909</v>
      </c>
      <c r="H40" s="9" cm="1">
        <f t="array" ref="H40">_xlfn.XLOOKUP(D40,cleanprovinces!$B$2:$B$78,_xlfn.XLOOKUP(panel!E40,cleanprovinces!$C$1:$AC$1,cleanprovinces!$C$2:$AC$78,"no",0,1))</f>
        <v>502770</v>
      </c>
      <c r="I40" s="4">
        <f t="shared" si="1"/>
        <v>502770000000</v>
      </c>
      <c r="J40" s="3" cm="1">
        <f t="array" ref="J40">_xlfn.XLOOKUP(D40,[3]Sheet1!$B$2:$B$78,_xlfn.XLOOKUP(E40,[3]Sheet1!$C$1:$AC$1,[3]Sheet1!$C$2:$AC$78))</f>
        <v>2250</v>
      </c>
      <c r="K40" s="3">
        <f t="shared" si="0"/>
        <v>2250000</v>
      </c>
      <c r="L40" s="3">
        <f t="shared" si="2"/>
        <v>223453.33333333334</v>
      </c>
      <c r="M40" s="10">
        <v>100.709792730689</v>
      </c>
      <c r="N40" s="10">
        <v>13.596484024758601</v>
      </c>
    </row>
    <row r="41" spans="1:14" hidden="1" x14ac:dyDescent="0.3">
      <c r="A41" s="5">
        <v>69</v>
      </c>
      <c r="B41" s="5" t="str">
        <f>_xlfn.XLOOKUP(D41,'[1]Viirs77-Sol'!$C$2:$C$694,'[1]Viirs77-Sol'!$A$2:$A$694)</f>
        <v>TH-11</v>
      </c>
      <c r="C41" s="5" t="str">
        <f>_xlfn.XLOOKUP(D41,cleanprovinces!$B:$B,cleanprovinces!$A:$A)</f>
        <v>BKK&amp;VIC</v>
      </c>
      <c r="D41" s="5" t="s">
        <v>104</v>
      </c>
      <c r="E41" s="6">
        <v>2021</v>
      </c>
      <c r="F41" s="7" cm="1">
        <f t="array" ref="F41">_xlfn.XLOOKUP(D41&amp;E41,'[1]Viirs77-Sol'!$C$2:$C$694&amp;'[1]Viirs77-Sol'!$D$2:$D$694,'[1]Viirs77-Sol'!$E$2:$E$694)</f>
        <v>78607.9614</v>
      </c>
      <c r="G41" s="7" cm="1">
        <f t="array" ref="G41">_xlfn.XLOOKUP(B41&amp;E41,'[2]Viirs77-Mean'!$A$2:$A$694&amp;'[2]Viirs77-Mean'!$D$2:$D$694,'[2]Viirs77-Mean'!$E$2:$E$694)</f>
        <v>17.466350559999999</v>
      </c>
      <c r="H41" s="9" cm="1">
        <f t="array" ref="H41">_xlfn.XLOOKUP(D41,cleanprovinces!$B$2:$B$78,_xlfn.XLOOKUP(panel!E41,cleanprovinces!$C$1:$AC$1,cleanprovinces!$C$2:$AC$78,"no",0,1))</f>
        <v>504885</v>
      </c>
      <c r="I41" s="4">
        <f t="shared" si="1"/>
        <v>504885000000</v>
      </c>
      <c r="J41" s="3" cm="1">
        <f t="array" ref="J41">_xlfn.XLOOKUP(D41,[3]Sheet1!$B$2:$B$78,_xlfn.XLOOKUP(E41,[3]Sheet1!$C$1:$AC$1,[3]Sheet1!$C$2:$AC$78))</f>
        <v>2289</v>
      </c>
      <c r="K41" s="3">
        <f t="shared" si="0"/>
        <v>2289000</v>
      </c>
      <c r="L41" s="3">
        <f t="shared" si="2"/>
        <v>220570.11795543905</v>
      </c>
      <c r="M41" s="10">
        <v>100.709792730689</v>
      </c>
      <c r="N41" s="10">
        <v>13.596484024758601</v>
      </c>
    </row>
    <row r="42" spans="1:14" hidden="1" x14ac:dyDescent="0.3">
      <c r="A42" s="5">
        <v>68</v>
      </c>
      <c r="B42" s="5" t="str">
        <f>_xlfn.XLOOKUP(D42,'[1]Viirs77-Sol'!$C$2:$C$694,'[1]Viirs77-Sol'!$A$2:$A$694)</f>
        <v>TH-74</v>
      </c>
      <c r="C42" s="5" t="str">
        <f>_xlfn.XLOOKUP(D42,cleanprovinces!$B:$B,cleanprovinces!$A:$A)</f>
        <v>BKK&amp;VIC</v>
      </c>
      <c r="D42" s="5" t="s">
        <v>106</v>
      </c>
      <c r="E42" s="6">
        <v>2014</v>
      </c>
      <c r="F42" s="7" cm="1">
        <f t="array" ref="F42">_xlfn.XLOOKUP(D42&amp;E42,'[1]Viirs77-Sol'!$C$2:$C$694&amp;'[1]Viirs77-Sol'!$D$2:$D$694,'[1]Viirs77-Sol'!$E$2:$E$694)</f>
        <v>21288.000250000001</v>
      </c>
      <c r="G42" s="7" cm="1">
        <f t="array" ref="G42">_xlfn.XLOOKUP(B42&amp;E42,'[2]Viirs77-Mean'!$A$2:$A$694&amp;'[2]Viirs77-Mean'!$D$2:$D$694,'[2]Viirs77-Mean'!$E$2:$E$694)</f>
        <v>5.2876356150000001</v>
      </c>
      <c r="H42" s="9" cm="1">
        <f t="array" ref="H42">_xlfn.XLOOKUP(D42,cleanprovinces!$B$2:$B$78,_xlfn.XLOOKUP(panel!E42,cleanprovinces!$C$1:$AC$1,cleanprovinces!$C$2:$AC$78,"no",0,1))</f>
        <v>260854</v>
      </c>
      <c r="I42" s="4">
        <f t="shared" si="1"/>
        <v>260854000000</v>
      </c>
      <c r="J42" s="3" cm="1">
        <f t="array" ref="J42">_xlfn.XLOOKUP(D42,[3]Sheet1!$B$2:$B$78,_xlfn.XLOOKUP(E42,[3]Sheet1!$C$1:$AC$1,[3]Sheet1!$C$2:$AC$78))</f>
        <v>954</v>
      </c>
      <c r="K42" s="3">
        <f t="shared" si="0"/>
        <v>954000</v>
      </c>
      <c r="L42" s="3">
        <f t="shared" si="2"/>
        <v>273431.86582809227</v>
      </c>
      <c r="M42" s="10">
        <v>100.21562610582799</v>
      </c>
      <c r="N42" s="10">
        <v>13.5705696816559</v>
      </c>
    </row>
    <row r="43" spans="1:14" hidden="1" x14ac:dyDescent="0.3">
      <c r="A43" s="5">
        <v>68</v>
      </c>
      <c r="B43" s="5" t="str">
        <f>_xlfn.XLOOKUP(D43,'[1]Viirs77-Sol'!$C$2:$C$694,'[1]Viirs77-Sol'!$A$2:$A$694)</f>
        <v>TH-74</v>
      </c>
      <c r="C43" s="5" t="str">
        <f>_xlfn.XLOOKUP(D43,cleanprovinces!$B:$B,cleanprovinces!$A:$A)</f>
        <v>BKK&amp;VIC</v>
      </c>
      <c r="D43" s="5" t="s">
        <v>106</v>
      </c>
      <c r="E43" s="6">
        <v>2015</v>
      </c>
      <c r="F43" s="7" cm="1">
        <f t="array" ref="F43">_xlfn.XLOOKUP(D43&amp;E43,'[1]Viirs77-Sol'!$C$2:$C$694&amp;'[1]Viirs77-Sol'!$D$2:$D$694,'[1]Viirs77-Sol'!$E$2:$E$694)</f>
        <v>23773.986140000001</v>
      </c>
      <c r="G43" s="7" cm="1">
        <f t="array" ref="G43">_xlfn.XLOOKUP(B43&amp;E43,'[2]Viirs77-Mean'!$A$2:$A$694&amp;'[2]Viirs77-Mean'!$D$2:$D$694,'[2]Viirs77-Mean'!$E$2:$E$694)</f>
        <v>5.9051190499999997</v>
      </c>
      <c r="H43" s="9" cm="1">
        <f t="array" ref="H43">_xlfn.XLOOKUP(D43,cleanprovinces!$B$2:$B$78,_xlfn.XLOOKUP(panel!E43,cleanprovinces!$C$1:$AC$1,cleanprovinces!$C$2:$AC$78,"no",0,1))</f>
        <v>258426</v>
      </c>
      <c r="I43" s="4">
        <f t="shared" si="1"/>
        <v>258426000000</v>
      </c>
      <c r="J43" s="3" cm="1">
        <f t="array" ref="J43">_xlfn.XLOOKUP(D43,[3]Sheet1!$B$2:$B$78,_xlfn.XLOOKUP(E43,[3]Sheet1!$C$1:$AC$1,[3]Sheet1!$C$2:$AC$78))</f>
        <v>971</v>
      </c>
      <c r="K43" s="3">
        <f t="shared" si="0"/>
        <v>971000</v>
      </c>
      <c r="L43" s="3">
        <f t="shared" si="2"/>
        <v>266144.18125643668</v>
      </c>
      <c r="M43" s="10">
        <v>100.21562610582799</v>
      </c>
      <c r="N43" s="10">
        <v>13.5705696816559</v>
      </c>
    </row>
    <row r="44" spans="1:14" hidden="1" x14ac:dyDescent="0.3">
      <c r="A44" s="5">
        <v>68</v>
      </c>
      <c r="B44" s="5" t="str">
        <f>_xlfn.XLOOKUP(D44,'[1]Viirs77-Sol'!$C$2:$C$694,'[1]Viirs77-Sol'!$A$2:$A$694)</f>
        <v>TH-74</v>
      </c>
      <c r="C44" s="5" t="str">
        <f>_xlfn.XLOOKUP(D44,cleanprovinces!$B:$B,cleanprovinces!$A:$A)</f>
        <v>BKK&amp;VIC</v>
      </c>
      <c r="D44" s="5" t="s">
        <v>106</v>
      </c>
      <c r="E44" s="6">
        <v>2016</v>
      </c>
      <c r="F44" s="7" cm="1">
        <f t="array" ref="F44">_xlfn.XLOOKUP(D44&amp;E44,'[1]Viirs77-Sol'!$C$2:$C$694&amp;'[1]Viirs77-Sol'!$D$2:$D$694,'[1]Viirs77-Sol'!$E$2:$E$694)</f>
        <v>24318.65654</v>
      </c>
      <c r="G44" s="7" cm="1">
        <f t="array" ref="G44">_xlfn.XLOOKUP(B44&amp;E44,'[2]Viirs77-Mean'!$A$2:$A$694&amp;'[2]Viirs77-Mean'!$D$2:$D$694,'[2]Viirs77-Mean'!$E$2:$E$694)</f>
        <v>6.0404074100000003</v>
      </c>
      <c r="H44" s="9" cm="1">
        <f t="array" ref="H44">_xlfn.XLOOKUP(D44,cleanprovinces!$B$2:$B$78,_xlfn.XLOOKUP(panel!E44,cleanprovinces!$C$1:$AC$1,cleanprovinces!$C$2:$AC$78,"no",0,1))</f>
        <v>263544</v>
      </c>
      <c r="I44" s="4">
        <f t="shared" si="1"/>
        <v>263544000000</v>
      </c>
      <c r="J44" s="3" cm="1">
        <f t="array" ref="J44">_xlfn.XLOOKUP(D44,[3]Sheet1!$B$2:$B$78,_xlfn.XLOOKUP(E44,[3]Sheet1!$C$1:$AC$1,[3]Sheet1!$C$2:$AC$78))</f>
        <v>984</v>
      </c>
      <c r="K44" s="3">
        <f t="shared" si="0"/>
        <v>984000</v>
      </c>
      <c r="L44" s="3">
        <f t="shared" si="2"/>
        <v>267829.26829268294</v>
      </c>
      <c r="M44" s="10">
        <v>100.21562610582799</v>
      </c>
      <c r="N44" s="10">
        <v>13.5705696816559</v>
      </c>
    </row>
    <row r="45" spans="1:14" hidden="1" x14ac:dyDescent="0.3">
      <c r="A45" s="5">
        <v>68</v>
      </c>
      <c r="B45" s="5" t="str">
        <f>_xlfn.XLOOKUP(D45,'[1]Viirs77-Sol'!$C$2:$C$694,'[1]Viirs77-Sol'!$A$2:$A$694)</f>
        <v>TH-74</v>
      </c>
      <c r="C45" s="5" t="str">
        <f>_xlfn.XLOOKUP(D45,cleanprovinces!$B:$B,cleanprovinces!$A:$A)</f>
        <v>BKK&amp;VIC</v>
      </c>
      <c r="D45" s="5" t="s">
        <v>106</v>
      </c>
      <c r="E45" s="6">
        <v>2017</v>
      </c>
      <c r="F45" s="7" cm="1">
        <f t="array" ref="F45">_xlfn.XLOOKUP(D45&amp;E45,'[1]Viirs77-Sol'!$C$2:$C$694&amp;'[1]Viirs77-Sol'!$D$2:$D$694,'[1]Viirs77-Sol'!$E$2:$E$694)</f>
        <v>25973.62068</v>
      </c>
      <c r="G45" s="7" cm="1">
        <f t="array" ref="G45">_xlfn.XLOOKUP(B45&amp;E45,'[2]Viirs77-Mean'!$A$2:$A$694&amp;'[2]Viirs77-Mean'!$D$2:$D$694,'[2]Viirs77-Mean'!$E$2:$E$694)</f>
        <v>6.4514768949999999</v>
      </c>
      <c r="H45" s="9" cm="1">
        <f t="array" ref="H45">_xlfn.XLOOKUP(D45,cleanprovinces!$B$2:$B$78,_xlfn.XLOOKUP(panel!E45,cleanprovinces!$C$1:$AC$1,cleanprovinces!$C$2:$AC$78,"no",0,1))</f>
        <v>277018</v>
      </c>
      <c r="I45" s="4">
        <f t="shared" si="1"/>
        <v>277018000000</v>
      </c>
      <c r="J45" s="3" cm="1">
        <f t="array" ref="J45">_xlfn.XLOOKUP(D45,[3]Sheet1!$B$2:$B$78,_xlfn.XLOOKUP(E45,[3]Sheet1!$C$1:$AC$1,[3]Sheet1!$C$2:$AC$78))</f>
        <v>1031</v>
      </c>
      <c r="K45" s="3">
        <f t="shared" si="0"/>
        <v>1031000</v>
      </c>
      <c r="L45" s="3">
        <f t="shared" si="2"/>
        <v>268688.6517943744</v>
      </c>
      <c r="M45" s="10">
        <v>100.21562610582799</v>
      </c>
      <c r="N45" s="10">
        <v>13.5705696816559</v>
      </c>
    </row>
    <row r="46" spans="1:14" hidden="1" x14ac:dyDescent="0.3">
      <c r="A46" s="5">
        <v>68</v>
      </c>
      <c r="B46" s="5" t="str">
        <f>_xlfn.XLOOKUP(D46,'[1]Viirs77-Sol'!$C$2:$C$694,'[1]Viirs77-Sol'!$A$2:$A$694)</f>
        <v>TH-74</v>
      </c>
      <c r="C46" s="5" t="str">
        <f>_xlfn.XLOOKUP(D46,cleanprovinces!$B:$B,cleanprovinces!$A:$A)</f>
        <v>BKK&amp;VIC</v>
      </c>
      <c r="D46" s="5" t="s">
        <v>106</v>
      </c>
      <c r="E46" s="6">
        <v>2018</v>
      </c>
      <c r="F46" s="7" cm="1">
        <f t="array" ref="F46">_xlfn.XLOOKUP(D46&amp;E46,'[1]Viirs77-Sol'!$C$2:$C$694&amp;'[1]Viirs77-Sol'!$D$2:$D$694,'[1]Viirs77-Sol'!$E$2:$E$694)</f>
        <v>26777.17311</v>
      </c>
      <c r="G46" s="7" cm="1">
        <f t="array" ref="G46">_xlfn.XLOOKUP(B46&amp;E46,'[2]Viirs77-Mean'!$A$2:$A$694&amp;'[2]Viirs77-Mean'!$D$2:$D$694,'[2]Viirs77-Mean'!$E$2:$E$694)</f>
        <v>6.6510678580000002</v>
      </c>
      <c r="H46" s="9" cm="1">
        <f t="array" ref="H46">_xlfn.XLOOKUP(D46,cleanprovinces!$B$2:$B$78,_xlfn.XLOOKUP(panel!E46,cleanprovinces!$C$1:$AC$1,cleanprovinces!$C$2:$AC$78,"no",0,1))</f>
        <v>287145</v>
      </c>
      <c r="I46" s="4">
        <f t="shared" si="1"/>
        <v>287145000000</v>
      </c>
      <c r="J46" s="3" cm="1">
        <f t="array" ref="J46">_xlfn.XLOOKUP(D46,[3]Sheet1!$B$2:$B$78,_xlfn.XLOOKUP(E46,[3]Sheet1!$C$1:$AC$1,[3]Sheet1!$C$2:$AC$78))</f>
        <v>1042</v>
      </c>
      <c r="K46" s="3">
        <f t="shared" si="0"/>
        <v>1042000</v>
      </c>
      <c r="L46" s="3">
        <f t="shared" si="2"/>
        <v>275571.01727447216</v>
      </c>
      <c r="M46" s="10">
        <v>100.21562610582799</v>
      </c>
      <c r="N46" s="10">
        <v>13.5705696816559</v>
      </c>
    </row>
    <row r="47" spans="1:14" hidden="1" x14ac:dyDescent="0.3">
      <c r="A47" s="5">
        <v>68</v>
      </c>
      <c r="B47" s="5" t="str">
        <f>_xlfn.XLOOKUP(D47,'[1]Viirs77-Sol'!$C$2:$C$694,'[1]Viirs77-Sol'!$A$2:$A$694)</f>
        <v>TH-74</v>
      </c>
      <c r="C47" s="5" t="str">
        <f>_xlfn.XLOOKUP(D47,cleanprovinces!$B:$B,cleanprovinces!$A:$A)</f>
        <v>BKK&amp;VIC</v>
      </c>
      <c r="D47" s="5" t="s">
        <v>106</v>
      </c>
      <c r="E47" s="6">
        <v>2019</v>
      </c>
      <c r="F47" s="7" cm="1">
        <f t="array" ref="F47">_xlfn.XLOOKUP(D47&amp;E47,'[1]Viirs77-Sol'!$C$2:$C$694&amp;'[1]Viirs77-Sol'!$D$2:$D$694,'[1]Viirs77-Sol'!$E$2:$E$694)</f>
        <v>28300.287799999998</v>
      </c>
      <c r="G47" s="7" cm="1">
        <f t="array" ref="G47">_xlfn.XLOOKUP(B47&amp;E47,'[2]Viirs77-Mean'!$A$2:$A$694&amp;'[2]Viirs77-Mean'!$D$2:$D$694,'[2]Viirs77-Mean'!$E$2:$E$694)</f>
        <v>7.0293878210000003</v>
      </c>
      <c r="H47" s="9" cm="1">
        <f t="array" ref="H47">_xlfn.XLOOKUP(D47,cleanprovinces!$B$2:$B$78,_xlfn.XLOOKUP(panel!E47,cleanprovinces!$C$1:$AC$1,cleanprovinces!$C$2:$AC$78,"no",0,1))</f>
        <v>296260</v>
      </c>
      <c r="I47" s="4">
        <f t="shared" si="1"/>
        <v>296260000000</v>
      </c>
      <c r="J47" s="3" cm="1">
        <f t="array" ref="J47">_xlfn.XLOOKUP(D47,[3]Sheet1!$B$2:$B$78,_xlfn.XLOOKUP(E47,[3]Sheet1!$C$1:$AC$1,[3]Sheet1!$C$2:$AC$78))</f>
        <v>1054</v>
      </c>
      <c r="K47" s="3">
        <f t="shared" si="0"/>
        <v>1054000</v>
      </c>
      <c r="L47" s="3">
        <f t="shared" si="2"/>
        <v>281081.59392789373</v>
      </c>
      <c r="M47" s="10">
        <v>100.21562610582799</v>
      </c>
      <c r="N47" s="10">
        <v>13.5705696816559</v>
      </c>
    </row>
    <row r="48" spans="1:14" hidden="1" x14ac:dyDescent="0.3">
      <c r="A48" s="5">
        <v>68</v>
      </c>
      <c r="B48" s="5" t="str">
        <f>_xlfn.XLOOKUP(D48,'[1]Viirs77-Sol'!$C$2:$C$694,'[1]Viirs77-Sol'!$A$2:$A$694)</f>
        <v>TH-74</v>
      </c>
      <c r="C48" s="5" t="str">
        <f>_xlfn.XLOOKUP(D48,cleanprovinces!$B:$B,cleanprovinces!$A:$A)</f>
        <v>BKK&amp;VIC</v>
      </c>
      <c r="D48" s="5" t="s">
        <v>106</v>
      </c>
      <c r="E48" s="6">
        <v>2020</v>
      </c>
      <c r="F48" s="7" cm="1">
        <f t="array" ref="F48">_xlfn.XLOOKUP(D48&amp;E48,'[1]Viirs77-Sol'!$C$2:$C$694&amp;'[1]Viirs77-Sol'!$D$2:$D$694,'[1]Viirs77-Sol'!$E$2:$E$694)</f>
        <v>29335.874530000001</v>
      </c>
      <c r="G48" s="7" cm="1">
        <f t="array" ref="G48">_xlfn.XLOOKUP(B48&amp;E48,'[2]Viirs77-Mean'!$A$2:$A$694&amp;'[2]Viirs77-Mean'!$D$2:$D$694,'[2]Viirs77-Mean'!$E$2:$E$694)</f>
        <v>7.2866127939999998</v>
      </c>
      <c r="H48" s="9" cm="1">
        <f t="array" ref="H48">_xlfn.XLOOKUP(D48,cleanprovinces!$B$2:$B$78,_xlfn.XLOOKUP(panel!E48,cleanprovinces!$C$1:$AC$1,cleanprovinces!$C$2:$AC$78,"no",0,1))</f>
        <v>295924</v>
      </c>
      <c r="I48" s="4">
        <f t="shared" si="1"/>
        <v>295924000000</v>
      </c>
      <c r="J48" s="3" cm="1">
        <f t="array" ref="J48">_xlfn.XLOOKUP(D48,[3]Sheet1!$B$2:$B$78,_xlfn.XLOOKUP(E48,[3]Sheet1!$C$1:$AC$1,[3]Sheet1!$C$2:$AC$78))</f>
        <v>1065</v>
      </c>
      <c r="K48" s="3">
        <f t="shared" si="0"/>
        <v>1065000</v>
      </c>
      <c r="L48" s="3">
        <f t="shared" si="2"/>
        <v>277862.91079812206</v>
      </c>
      <c r="M48" s="10">
        <v>100.21562610582799</v>
      </c>
      <c r="N48" s="10">
        <v>13.5705696816559</v>
      </c>
    </row>
    <row r="49" spans="1:14" hidden="1" x14ac:dyDescent="0.3">
      <c r="A49" s="5">
        <v>68</v>
      </c>
      <c r="B49" s="5" t="str">
        <f>_xlfn.XLOOKUP(D49,'[1]Viirs77-Sol'!$C$2:$C$694,'[1]Viirs77-Sol'!$A$2:$A$694)</f>
        <v>TH-74</v>
      </c>
      <c r="C49" s="5" t="str">
        <f>_xlfn.XLOOKUP(D49,cleanprovinces!$B:$B,cleanprovinces!$A:$A)</f>
        <v>BKK&amp;VIC</v>
      </c>
      <c r="D49" s="5" t="s">
        <v>106</v>
      </c>
      <c r="E49" s="6">
        <v>2021</v>
      </c>
      <c r="F49" s="7" cm="1">
        <f t="array" ref="F49">_xlfn.XLOOKUP(D49&amp;E49,'[1]Viirs77-Sol'!$C$2:$C$694&amp;'[1]Viirs77-Sol'!$D$2:$D$694,'[1]Viirs77-Sol'!$E$2:$E$694)</f>
        <v>31745.36508</v>
      </c>
      <c r="G49" s="7" cm="1">
        <f t="array" ref="G49">_xlfn.XLOOKUP(B49&amp;E49,'[2]Viirs77-Mean'!$A$2:$A$694&amp;'[2]Viirs77-Mean'!$D$2:$D$694,'[2]Viirs77-Mean'!$E$2:$E$694)</f>
        <v>7.8850958770000004</v>
      </c>
      <c r="H49" s="9" cm="1">
        <f t="array" ref="H49">_xlfn.XLOOKUP(D49,cleanprovinces!$B$2:$B$78,_xlfn.XLOOKUP(panel!E49,cleanprovinces!$C$1:$AC$1,cleanprovinces!$C$2:$AC$78,"no",0,1))</f>
        <v>299129</v>
      </c>
      <c r="I49" s="4">
        <f t="shared" si="1"/>
        <v>299129000000</v>
      </c>
      <c r="J49" s="3" cm="1">
        <f t="array" ref="J49">_xlfn.XLOOKUP(D49,[3]Sheet1!$B$2:$B$78,_xlfn.XLOOKUP(E49,[3]Sheet1!$C$1:$AC$1,[3]Sheet1!$C$2:$AC$78))</f>
        <v>1076</v>
      </c>
      <c r="K49" s="3">
        <f t="shared" si="0"/>
        <v>1076000</v>
      </c>
      <c r="L49" s="3">
        <f t="shared" si="2"/>
        <v>278000.92936802976</v>
      </c>
      <c r="M49" s="10">
        <v>100.21562610582799</v>
      </c>
      <c r="N49" s="10">
        <v>13.5705696816559</v>
      </c>
    </row>
    <row r="50" spans="1:14" hidden="1" x14ac:dyDescent="0.3">
      <c r="A50" s="5">
        <v>45</v>
      </c>
      <c r="B50" s="5" t="str">
        <f>_xlfn.XLOOKUP(D50,'[1]Viirs77-Sol'!$C$2:$C$694,'[1]Viirs77-Sol'!$A$2:$A$694)</f>
        <v>TH-15</v>
      </c>
      <c r="C50" s="5" t="str">
        <f>_xlfn.XLOOKUP(D50,cleanprovinces!$B:$B,cleanprovinces!$A:$A)</f>
        <v>CE</v>
      </c>
      <c r="D50" s="5" t="s">
        <v>100</v>
      </c>
      <c r="E50" s="6">
        <v>2014</v>
      </c>
      <c r="F50" s="7" cm="1">
        <f t="array" ref="F50">_xlfn.XLOOKUP(D50&amp;E50,'[1]Viirs77-Sol'!$C$2:$C$694&amp;'[1]Viirs77-Sol'!$D$2:$D$694,'[1]Viirs77-Sol'!$E$2:$E$694)</f>
        <v>6799.9917649999998</v>
      </c>
      <c r="G50" s="7" cm="1">
        <f t="array" ref="G50">_xlfn.XLOOKUP(B50&amp;E50,'[2]Viirs77-Mean'!$A$2:$A$694&amp;'[2]Viirs77-Mean'!$D$2:$D$694,'[2]Viirs77-Mean'!$E$2:$E$694)</f>
        <v>1.443191855</v>
      </c>
      <c r="H50" s="9" cm="1">
        <f t="array" ref="H50">_xlfn.XLOOKUP(D50,cleanprovinces!$B$2:$B$78,_xlfn.XLOOKUP(panel!E50,cleanprovinces!$C$1:$AC$1,cleanprovinces!$C$2:$AC$78,"no",0,1))</f>
        <v>16125</v>
      </c>
      <c r="I50" s="4">
        <f t="shared" si="1"/>
        <v>16125000000</v>
      </c>
      <c r="J50" s="3" cm="1">
        <f t="array" ref="J50">_xlfn.XLOOKUP(D50,[3]Sheet1!$B$2:$B$78,_xlfn.XLOOKUP(E50,[3]Sheet1!$C$1:$AC$1,[3]Sheet1!$C$2:$AC$78))</f>
        <v>254</v>
      </c>
      <c r="K50" s="3">
        <f t="shared" si="0"/>
        <v>254000</v>
      </c>
      <c r="L50" s="3">
        <f t="shared" si="2"/>
        <v>63484.251968503937</v>
      </c>
      <c r="M50" s="10">
        <v>100.35547709400799</v>
      </c>
      <c r="N50" s="10">
        <v>14.6232843264913</v>
      </c>
    </row>
    <row r="51" spans="1:14" hidden="1" x14ac:dyDescent="0.3">
      <c r="A51" s="5">
        <v>45</v>
      </c>
      <c r="B51" s="5" t="str">
        <f>_xlfn.XLOOKUP(D51,'[1]Viirs77-Sol'!$C$2:$C$694,'[1]Viirs77-Sol'!$A$2:$A$694)</f>
        <v>TH-15</v>
      </c>
      <c r="C51" s="5" t="str">
        <f>_xlfn.XLOOKUP(D51,cleanprovinces!$B:$B,cleanprovinces!$A:$A)</f>
        <v>CE</v>
      </c>
      <c r="D51" s="5" t="s">
        <v>100</v>
      </c>
      <c r="E51" s="6">
        <v>2015</v>
      </c>
      <c r="F51" s="7" cm="1">
        <f t="array" ref="F51">_xlfn.XLOOKUP(D51&amp;E51,'[1]Viirs77-Sol'!$C$2:$C$694&amp;'[1]Viirs77-Sol'!$D$2:$D$694,'[1]Viirs77-Sol'!$E$2:$E$694)</f>
        <v>7723.5611719999997</v>
      </c>
      <c r="G51" s="7" cm="1">
        <f t="array" ref="G51">_xlfn.XLOOKUP(B51&amp;E51,'[2]Viirs77-Mean'!$A$2:$A$694&amp;'[2]Viirs77-Mean'!$D$2:$D$694,'[2]Viirs77-Mean'!$E$2:$E$694)</f>
        <v>1.639205011</v>
      </c>
      <c r="H51" s="9" cm="1">
        <f t="array" ref="H51">_xlfn.XLOOKUP(D51,cleanprovinces!$B$2:$B$78,_xlfn.XLOOKUP(panel!E51,cleanprovinces!$C$1:$AC$1,cleanprovinces!$C$2:$AC$78,"no",0,1))</f>
        <v>15919</v>
      </c>
      <c r="I51" s="4">
        <f t="shared" si="1"/>
        <v>15919000000</v>
      </c>
      <c r="J51" s="3" cm="1">
        <f t="array" ref="J51">_xlfn.XLOOKUP(D51,[3]Sheet1!$B$2:$B$78,_xlfn.XLOOKUP(E51,[3]Sheet1!$C$1:$AC$1,[3]Sheet1!$C$2:$AC$78))</f>
        <v>254</v>
      </c>
      <c r="K51" s="3">
        <f t="shared" si="0"/>
        <v>254000</v>
      </c>
      <c r="L51" s="3">
        <f t="shared" si="2"/>
        <v>62673.228346456694</v>
      </c>
      <c r="M51" s="10">
        <v>100.35547709400799</v>
      </c>
      <c r="N51" s="10">
        <v>14.6232843264913</v>
      </c>
    </row>
    <row r="52" spans="1:14" hidden="1" x14ac:dyDescent="0.3">
      <c r="A52" s="5">
        <v>45</v>
      </c>
      <c r="B52" s="5" t="str">
        <f>_xlfn.XLOOKUP(D52,'[1]Viirs77-Sol'!$C$2:$C$694,'[1]Viirs77-Sol'!$A$2:$A$694)</f>
        <v>TH-15</v>
      </c>
      <c r="C52" s="5" t="str">
        <f>_xlfn.XLOOKUP(D52,cleanprovinces!$B:$B,cleanprovinces!$A:$A)</f>
        <v>CE</v>
      </c>
      <c r="D52" s="5" t="s">
        <v>100</v>
      </c>
      <c r="E52" s="6">
        <v>2016</v>
      </c>
      <c r="F52" s="7" cm="1">
        <f t="array" ref="F52">_xlfn.XLOOKUP(D52&amp;E52,'[1]Viirs77-Sol'!$C$2:$C$694&amp;'[1]Viirs77-Sol'!$D$2:$D$694,'[1]Viirs77-Sol'!$E$2:$E$694)</f>
        <v>8447.539143</v>
      </c>
      <c r="G52" s="7" cm="1">
        <f t="array" ref="G52">_xlfn.XLOOKUP(B52&amp;E52,'[2]Viirs77-Mean'!$A$2:$A$694&amp;'[2]Viirs77-Mean'!$D$2:$D$694,'[2]Viirs77-Mean'!$E$2:$E$694)</f>
        <v>1.792858007</v>
      </c>
      <c r="H52" s="9" cm="1">
        <f t="array" ref="H52">_xlfn.XLOOKUP(D52,cleanprovinces!$B$2:$B$78,_xlfn.XLOOKUP(panel!E52,cleanprovinces!$C$1:$AC$1,cleanprovinces!$C$2:$AC$78,"no",0,1))</f>
        <v>16569</v>
      </c>
      <c r="I52" s="4">
        <f t="shared" si="1"/>
        <v>16569000000</v>
      </c>
      <c r="J52" s="3" cm="1">
        <f t="array" ref="J52">_xlfn.XLOOKUP(D52,[3]Sheet1!$B$2:$B$78,_xlfn.XLOOKUP(E52,[3]Sheet1!$C$1:$AC$1,[3]Sheet1!$C$2:$AC$78))</f>
        <v>253</v>
      </c>
      <c r="K52" s="3">
        <f t="shared" si="0"/>
        <v>253000</v>
      </c>
      <c r="L52" s="3">
        <f t="shared" si="2"/>
        <v>65490.118577075096</v>
      </c>
      <c r="M52" s="10">
        <v>100.35547709400799</v>
      </c>
      <c r="N52" s="10">
        <v>14.6232843264913</v>
      </c>
    </row>
    <row r="53" spans="1:14" hidden="1" x14ac:dyDescent="0.3">
      <c r="A53" s="5">
        <v>45</v>
      </c>
      <c r="B53" s="5" t="str">
        <f>_xlfn.XLOOKUP(D53,'[1]Viirs77-Sol'!$C$2:$C$694,'[1]Viirs77-Sol'!$A$2:$A$694)</f>
        <v>TH-15</v>
      </c>
      <c r="C53" s="5" t="str">
        <f>_xlfn.XLOOKUP(D53,cleanprovinces!$B:$B,cleanprovinces!$A:$A)</f>
        <v>CE</v>
      </c>
      <c r="D53" s="5" t="s">
        <v>100</v>
      </c>
      <c r="E53" s="6">
        <v>2017</v>
      </c>
      <c r="F53" s="7" cm="1">
        <f t="array" ref="F53">_xlfn.XLOOKUP(D53&amp;E53,'[1]Viirs77-Sol'!$C$2:$C$694&amp;'[1]Viirs77-Sol'!$D$2:$D$694,'[1]Viirs77-Sol'!$E$2:$E$694)</f>
        <v>9882.2297749999998</v>
      </c>
      <c r="G53" s="7" cm="1">
        <f t="array" ref="G53">_xlfn.XLOOKUP(B53&amp;E53,'[2]Viirs77-Mean'!$A$2:$A$694&amp;'[2]Viirs77-Mean'!$D$2:$D$694,'[2]Viirs77-Mean'!$E$2:$E$694)</f>
        <v>2.0973486459999999</v>
      </c>
      <c r="H53" s="9" cm="1">
        <f t="array" ref="H53">_xlfn.XLOOKUP(D53,cleanprovinces!$B$2:$B$78,_xlfn.XLOOKUP(panel!E53,cleanprovinces!$C$1:$AC$1,cleanprovinces!$C$2:$AC$78,"no",0,1))</f>
        <v>18036</v>
      </c>
      <c r="I53" s="4">
        <f t="shared" si="1"/>
        <v>18036000000</v>
      </c>
      <c r="J53" s="3" cm="1">
        <f t="array" ref="J53">_xlfn.XLOOKUP(D53,[3]Sheet1!$B$2:$B$78,_xlfn.XLOOKUP(E53,[3]Sheet1!$C$1:$AC$1,[3]Sheet1!$C$2:$AC$78))</f>
        <v>251</v>
      </c>
      <c r="K53" s="3">
        <f t="shared" si="0"/>
        <v>251000</v>
      </c>
      <c r="L53" s="3">
        <f t="shared" si="2"/>
        <v>71856.573705179282</v>
      </c>
      <c r="M53" s="10">
        <v>100.35547709400799</v>
      </c>
      <c r="N53" s="10">
        <v>14.6232843264913</v>
      </c>
    </row>
    <row r="54" spans="1:14" hidden="1" x14ac:dyDescent="0.3">
      <c r="A54" s="5">
        <v>45</v>
      </c>
      <c r="B54" s="5" t="str">
        <f>_xlfn.XLOOKUP(D54,'[1]Viirs77-Sol'!$C$2:$C$694,'[1]Viirs77-Sol'!$A$2:$A$694)</f>
        <v>TH-15</v>
      </c>
      <c r="C54" s="5" t="str">
        <f>_xlfn.XLOOKUP(D54,cleanprovinces!$B:$B,cleanprovinces!$A:$A)</f>
        <v>CE</v>
      </c>
      <c r="D54" s="5" t="s">
        <v>100</v>
      </c>
      <c r="E54" s="6">
        <v>2018</v>
      </c>
      <c r="F54" s="7" cm="1">
        <f t="array" ref="F54">_xlfn.XLOOKUP(D54&amp;E54,'[1]Viirs77-Sol'!$C$2:$C$694&amp;'[1]Viirs77-Sol'!$D$2:$D$694,'[1]Viirs77-Sol'!$E$2:$E$694)</f>
        <v>10330.405559999999</v>
      </c>
      <c r="G54" s="7" cm="1">
        <f t="array" ref="G54">_xlfn.XLOOKUP(B54&amp;E54,'[2]Viirs77-Mean'!$A$2:$A$694&amp;'[2]Viirs77-Mean'!$D$2:$D$694,'[2]Viirs77-Mean'!$E$2:$E$694)</f>
        <v>2.192466944</v>
      </c>
      <c r="H54" s="9" cm="1">
        <f t="array" ref="H54">_xlfn.XLOOKUP(D54,cleanprovinces!$B$2:$B$78,_xlfn.XLOOKUP(panel!E54,cleanprovinces!$C$1:$AC$1,cleanprovinces!$C$2:$AC$78,"no",0,1))</f>
        <v>19022</v>
      </c>
      <c r="I54" s="4">
        <f t="shared" si="1"/>
        <v>19022000000</v>
      </c>
      <c r="J54" s="3" cm="1">
        <f t="array" ref="J54">_xlfn.XLOOKUP(D54,[3]Sheet1!$B$2:$B$78,_xlfn.XLOOKUP(E54,[3]Sheet1!$C$1:$AC$1,[3]Sheet1!$C$2:$AC$78))</f>
        <v>250</v>
      </c>
      <c r="K54" s="3">
        <f t="shared" si="0"/>
        <v>250000</v>
      </c>
      <c r="L54" s="3">
        <f t="shared" si="2"/>
        <v>76088</v>
      </c>
      <c r="M54" s="10">
        <v>100.35547709400799</v>
      </c>
      <c r="N54" s="10">
        <v>14.6232843264913</v>
      </c>
    </row>
    <row r="55" spans="1:14" hidden="1" x14ac:dyDescent="0.3">
      <c r="A55" s="5">
        <v>45</v>
      </c>
      <c r="B55" s="5" t="str">
        <f>_xlfn.XLOOKUP(D55,'[1]Viirs77-Sol'!$C$2:$C$694,'[1]Viirs77-Sol'!$A$2:$A$694)</f>
        <v>TH-15</v>
      </c>
      <c r="C55" s="5" t="str">
        <f>_xlfn.XLOOKUP(D55,cleanprovinces!$B:$B,cleanprovinces!$A:$A)</f>
        <v>CE</v>
      </c>
      <c r="D55" s="5" t="s">
        <v>100</v>
      </c>
      <c r="E55" s="6">
        <v>2019</v>
      </c>
      <c r="F55" s="7" cm="1">
        <f t="array" ref="F55">_xlfn.XLOOKUP(D55&amp;E55,'[1]Viirs77-Sol'!$C$2:$C$694&amp;'[1]Viirs77-Sol'!$D$2:$D$694,'[1]Viirs77-Sol'!$E$2:$E$694)</f>
        <v>11012.78206</v>
      </c>
      <c r="G55" s="7" cm="1">
        <f t="array" ref="G55">_xlfn.XLOOKUP(B55&amp;E55,'[2]Viirs77-Mean'!$A$2:$A$694&amp;'[2]Viirs77-Mean'!$D$2:$D$694,'[2]Viirs77-Mean'!$E$2:$E$694)</f>
        <v>2.337290678</v>
      </c>
      <c r="H55" s="9" cm="1">
        <f t="array" ref="H55">_xlfn.XLOOKUP(D55,cleanprovinces!$B$2:$B$78,_xlfn.XLOOKUP(panel!E55,cleanprovinces!$C$1:$AC$1,cleanprovinces!$C$2:$AC$78,"no",0,1))</f>
        <v>19009</v>
      </c>
      <c r="I55" s="4">
        <f t="shared" si="1"/>
        <v>19009000000</v>
      </c>
      <c r="J55" s="3" cm="1">
        <f t="array" ref="J55">_xlfn.XLOOKUP(D55,[3]Sheet1!$B$2:$B$78,_xlfn.XLOOKUP(E55,[3]Sheet1!$C$1:$AC$1,[3]Sheet1!$C$2:$AC$78))</f>
        <v>249</v>
      </c>
      <c r="K55" s="3">
        <f t="shared" si="0"/>
        <v>249000</v>
      </c>
      <c r="L55" s="3">
        <f t="shared" si="2"/>
        <v>76341.365461847396</v>
      </c>
      <c r="M55" s="10">
        <v>100.35547709400799</v>
      </c>
      <c r="N55" s="10">
        <v>14.6232843264913</v>
      </c>
    </row>
    <row r="56" spans="1:14" hidden="1" x14ac:dyDescent="0.3">
      <c r="A56" s="5">
        <v>45</v>
      </c>
      <c r="B56" s="5" t="str">
        <f>_xlfn.XLOOKUP(D56,'[1]Viirs77-Sol'!$C$2:$C$694,'[1]Viirs77-Sol'!$A$2:$A$694)</f>
        <v>TH-15</v>
      </c>
      <c r="C56" s="5" t="str">
        <f>_xlfn.XLOOKUP(D56,cleanprovinces!$B:$B,cleanprovinces!$A:$A)</f>
        <v>CE</v>
      </c>
      <c r="D56" s="5" t="s">
        <v>100</v>
      </c>
      <c r="E56" s="6">
        <v>2020</v>
      </c>
      <c r="F56" s="7" cm="1">
        <f t="array" ref="F56">_xlfn.XLOOKUP(D56&amp;E56,'[1]Viirs77-Sol'!$C$2:$C$694&amp;'[1]Viirs77-Sol'!$D$2:$D$694,'[1]Viirs77-Sol'!$E$2:$E$694)</f>
        <v>11970.47633</v>
      </c>
      <c r="G56" s="7" cm="1">
        <f t="array" ref="G56">_xlfn.XLOOKUP(B56&amp;E56,'[2]Viirs77-Mean'!$A$2:$A$694&amp;'[2]Viirs77-Mean'!$D$2:$D$694,'[2]Viirs77-Mean'!$E$2:$E$694)</f>
        <v>2.5405463020000001</v>
      </c>
      <c r="H56" s="9" cm="1">
        <f t="array" ref="H56">_xlfn.XLOOKUP(D56,cleanprovinces!$B$2:$B$78,_xlfn.XLOOKUP(panel!E56,cleanprovinces!$C$1:$AC$1,cleanprovinces!$C$2:$AC$78,"no",0,1))</f>
        <v>18181</v>
      </c>
      <c r="I56" s="4">
        <f t="shared" si="1"/>
        <v>18181000000</v>
      </c>
      <c r="J56" s="3" cm="1">
        <f t="array" ref="J56">_xlfn.XLOOKUP(D56,[3]Sheet1!$B$2:$B$78,_xlfn.XLOOKUP(E56,[3]Sheet1!$C$1:$AC$1,[3]Sheet1!$C$2:$AC$78))</f>
        <v>247</v>
      </c>
      <c r="K56" s="3">
        <f t="shared" si="0"/>
        <v>247000</v>
      </c>
      <c r="L56" s="3">
        <f t="shared" si="2"/>
        <v>73607.287449392708</v>
      </c>
      <c r="M56" s="10">
        <v>100.35547709400799</v>
      </c>
      <c r="N56" s="10">
        <v>14.6232843264913</v>
      </c>
    </row>
    <row r="57" spans="1:14" hidden="1" x14ac:dyDescent="0.3">
      <c r="A57" s="5">
        <v>45</v>
      </c>
      <c r="B57" s="5" t="str">
        <f>_xlfn.XLOOKUP(D57,'[1]Viirs77-Sol'!$C$2:$C$694,'[1]Viirs77-Sol'!$A$2:$A$694)</f>
        <v>TH-15</v>
      </c>
      <c r="C57" s="5" t="str">
        <f>_xlfn.XLOOKUP(D57,cleanprovinces!$B:$B,cleanprovinces!$A:$A)</f>
        <v>CE</v>
      </c>
      <c r="D57" s="5" t="s">
        <v>100</v>
      </c>
      <c r="E57" s="6">
        <v>2021</v>
      </c>
      <c r="F57" s="7" cm="1">
        <f t="array" ref="F57">_xlfn.XLOOKUP(D57&amp;E57,'[1]Viirs77-Sol'!$C$2:$C$694&amp;'[1]Viirs77-Sol'!$D$2:$D$694,'[1]Viirs77-Sol'!$E$2:$E$694)</f>
        <v>13974.125190000001</v>
      </c>
      <c r="G57" s="7" cm="1">
        <f t="array" ref="G57">_xlfn.XLOOKUP(B57&amp;E57,'[2]Viirs77-Mean'!$A$2:$A$694&amp;'[2]Viirs77-Mean'!$D$2:$D$694,'[2]Viirs77-Mean'!$E$2:$E$694)</f>
        <v>2.965789424</v>
      </c>
      <c r="H57" s="9" cm="1">
        <f t="array" ref="H57">_xlfn.XLOOKUP(D57,cleanprovinces!$B$2:$B$78,_xlfn.XLOOKUP(panel!E57,cleanprovinces!$C$1:$AC$1,cleanprovinces!$C$2:$AC$78,"no",0,1))</f>
        <v>17768</v>
      </c>
      <c r="I57" s="4">
        <f t="shared" si="1"/>
        <v>17768000000</v>
      </c>
      <c r="J57" s="3" cm="1">
        <f t="array" ref="J57">_xlfn.XLOOKUP(D57,[3]Sheet1!$B$2:$B$78,_xlfn.XLOOKUP(E57,[3]Sheet1!$C$1:$AC$1,[3]Sheet1!$C$2:$AC$78))</f>
        <v>246</v>
      </c>
      <c r="K57" s="3">
        <f t="shared" si="0"/>
        <v>246000</v>
      </c>
      <c r="L57" s="3">
        <f t="shared" si="2"/>
        <v>72227.642276422761</v>
      </c>
      <c r="M57" s="10">
        <v>100.35547709400799</v>
      </c>
      <c r="N57" s="10">
        <v>14.6232843264913</v>
      </c>
    </row>
    <row r="58" spans="1:14" hidden="1" x14ac:dyDescent="0.3">
      <c r="A58" s="5">
        <v>66</v>
      </c>
      <c r="B58" s="5" t="str">
        <f>_xlfn.XLOOKUP(D58,'[1]Viirs77-Sol'!$C$2:$C$694,'[1]Viirs77-Sol'!$A$2:$A$694)</f>
        <v>TH-18</v>
      </c>
      <c r="C58" s="5" t="str">
        <f>_xlfn.XLOOKUP(D58,cleanprovinces!$B:$B,cleanprovinces!$A:$A)</f>
        <v>CE</v>
      </c>
      <c r="D58" s="5" t="s">
        <v>99</v>
      </c>
      <c r="E58" s="6">
        <v>2014</v>
      </c>
      <c r="F58" s="7" cm="1">
        <f t="array" ref="F58">_xlfn.XLOOKUP(D58&amp;E58,'[1]Viirs77-Sol'!$C$2:$C$694&amp;'[1]Viirs77-Sol'!$D$2:$D$694,'[1]Viirs77-Sol'!$E$2:$E$694)</f>
        <v>6179.4211729999997</v>
      </c>
      <c r="G58" s="7" cm="1">
        <f t="array" ref="G58">_xlfn.XLOOKUP(B58&amp;E58,'[2]Viirs77-Mean'!$A$2:$A$694&amp;'[2]Viirs77-Mean'!$D$2:$D$694,'[2]Viirs77-Mean'!$E$2:$E$694)</f>
        <v>0.51303275400000004</v>
      </c>
      <c r="H58" s="9" cm="1">
        <f t="array" ref="H58">_xlfn.XLOOKUP(D58,cleanprovinces!$B$2:$B$78,_xlfn.XLOOKUP(panel!E58,cleanprovinces!$C$1:$AC$1,cleanprovinces!$C$2:$AC$78,"no",0,1))</f>
        <v>18494</v>
      </c>
      <c r="I58" s="4">
        <f t="shared" si="1"/>
        <v>18494000000</v>
      </c>
      <c r="J58" s="3" cm="1">
        <f t="array" ref="J58">_xlfn.XLOOKUP(D58,[3]Sheet1!$B$2:$B$78,_xlfn.XLOOKUP(E58,[3]Sheet1!$C$1:$AC$1,[3]Sheet1!$C$2:$AC$78))</f>
        <v>302</v>
      </c>
      <c r="K58" s="3">
        <f t="shared" si="0"/>
        <v>302000</v>
      </c>
      <c r="L58" s="3">
        <f t="shared" si="2"/>
        <v>61238.410596026493</v>
      </c>
      <c r="M58" s="10">
        <v>100.02529027987499</v>
      </c>
      <c r="N58" s="10">
        <v>15.1360259530611</v>
      </c>
    </row>
    <row r="59" spans="1:14" hidden="1" x14ac:dyDescent="0.3">
      <c r="A59" s="5">
        <v>66</v>
      </c>
      <c r="B59" s="5" t="str">
        <f>_xlfn.XLOOKUP(D59,'[1]Viirs77-Sol'!$C$2:$C$694,'[1]Viirs77-Sol'!$A$2:$A$694)</f>
        <v>TH-18</v>
      </c>
      <c r="C59" s="5" t="str">
        <f>_xlfn.XLOOKUP(D59,cleanprovinces!$B:$B,cleanprovinces!$A:$A)</f>
        <v>CE</v>
      </c>
      <c r="D59" s="5" t="s">
        <v>99</v>
      </c>
      <c r="E59" s="6">
        <v>2015</v>
      </c>
      <c r="F59" s="7" cm="1">
        <f t="array" ref="F59">_xlfn.XLOOKUP(D59&amp;E59,'[1]Viirs77-Sol'!$C$2:$C$694&amp;'[1]Viirs77-Sol'!$D$2:$D$694,'[1]Viirs77-Sol'!$E$2:$E$694)</f>
        <v>7393.9601169999996</v>
      </c>
      <c r="G59" s="7" cm="1">
        <f t="array" ref="G59">_xlfn.XLOOKUP(B59&amp;E59,'[2]Viirs77-Mean'!$A$2:$A$694&amp;'[2]Viirs77-Mean'!$D$2:$D$694,'[2]Viirs77-Mean'!$E$2:$E$694)</f>
        <v>0.613867159</v>
      </c>
      <c r="H59" s="9" cm="1">
        <f t="array" ref="H59">_xlfn.XLOOKUP(D59,cleanprovinces!$B$2:$B$78,_xlfn.XLOOKUP(panel!E59,cleanprovinces!$C$1:$AC$1,cleanprovinces!$C$2:$AC$78,"no",0,1))</f>
        <v>16731</v>
      </c>
      <c r="I59" s="4">
        <f t="shared" si="1"/>
        <v>16731000000</v>
      </c>
      <c r="J59" s="3" cm="1">
        <f t="array" ref="J59">_xlfn.XLOOKUP(D59,[3]Sheet1!$B$2:$B$78,_xlfn.XLOOKUP(E59,[3]Sheet1!$C$1:$AC$1,[3]Sheet1!$C$2:$AC$78))</f>
        <v>301</v>
      </c>
      <c r="K59" s="3">
        <f t="shared" si="0"/>
        <v>301000</v>
      </c>
      <c r="L59" s="3">
        <f t="shared" si="2"/>
        <v>55584.71760797342</v>
      </c>
      <c r="M59" s="10">
        <v>100.02529027987499</v>
      </c>
      <c r="N59" s="10">
        <v>15.1360259530611</v>
      </c>
    </row>
    <row r="60" spans="1:14" hidden="1" x14ac:dyDescent="0.3">
      <c r="A60" s="5">
        <v>66</v>
      </c>
      <c r="B60" s="5" t="str">
        <f>_xlfn.XLOOKUP(D60,'[1]Viirs77-Sol'!$C$2:$C$694,'[1]Viirs77-Sol'!$A$2:$A$694)</f>
        <v>TH-18</v>
      </c>
      <c r="C60" s="5" t="str">
        <f>_xlfn.XLOOKUP(D60,cleanprovinces!$B:$B,cleanprovinces!$A:$A)</f>
        <v>CE</v>
      </c>
      <c r="D60" s="5" t="s">
        <v>99</v>
      </c>
      <c r="E60" s="6">
        <v>2016</v>
      </c>
      <c r="F60" s="7" cm="1">
        <f t="array" ref="F60">_xlfn.XLOOKUP(D60&amp;E60,'[1]Viirs77-Sol'!$C$2:$C$694&amp;'[1]Viirs77-Sol'!$D$2:$D$694,'[1]Viirs77-Sol'!$E$2:$E$694)</f>
        <v>7996.5660399999997</v>
      </c>
      <c r="G60" s="7" cm="1">
        <f t="array" ref="G60">_xlfn.XLOOKUP(B60&amp;E60,'[2]Viirs77-Mean'!$A$2:$A$694&amp;'[2]Viirs77-Mean'!$D$2:$D$694,'[2]Viirs77-Mean'!$E$2:$E$694)</f>
        <v>0.66389718099999995</v>
      </c>
      <c r="H60" s="9" cm="1">
        <f t="array" ref="H60">_xlfn.XLOOKUP(D60,cleanprovinces!$B$2:$B$78,_xlfn.XLOOKUP(panel!E60,cleanprovinces!$C$1:$AC$1,cleanprovinces!$C$2:$AC$78,"no",0,1))</f>
        <v>16754</v>
      </c>
      <c r="I60" s="4">
        <f t="shared" si="1"/>
        <v>16754000000</v>
      </c>
      <c r="J60" s="3" cm="1">
        <f t="array" ref="J60">_xlfn.XLOOKUP(D60,[3]Sheet1!$B$2:$B$78,_xlfn.XLOOKUP(E60,[3]Sheet1!$C$1:$AC$1,[3]Sheet1!$C$2:$AC$78))</f>
        <v>298</v>
      </c>
      <c r="K60" s="3">
        <f t="shared" si="0"/>
        <v>298000</v>
      </c>
      <c r="L60" s="3">
        <f t="shared" si="2"/>
        <v>56221.476510067114</v>
      </c>
      <c r="M60" s="10">
        <v>100.02529027987499</v>
      </c>
      <c r="N60" s="10">
        <v>15.1360259530611</v>
      </c>
    </row>
    <row r="61" spans="1:14" hidden="1" x14ac:dyDescent="0.3">
      <c r="A61" s="5">
        <v>66</v>
      </c>
      <c r="B61" s="5" t="str">
        <f>_xlfn.XLOOKUP(D61,'[1]Viirs77-Sol'!$C$2:$C$694,'[1]Viirs77-Sol'!$A$2:$A$694)</f>
        <v>TH-18</v>
      </c>
      <c r="C61" s="5" t="str">
        <f>_xlfn.XLOOKUP(D61,cleanprovinces!$B:$B,cleanprovinces!$A:$A)</f>
        <v>CE</v>
      </c>
      <c r="D61" s="5" t="s">
        <v>99</v>
      </c>
      <c r="E61" s="6">
        <v>2017</v>
      </c>
      <c r="F61" s="7" cm="1">
        <f t="array" ref="F61">_xlfn.XLOOKUP(D61&amp;E61,'[1]Viirs77-Sol'!$C$2:$C$694&amp;'[1]Viirs77-Sol'!$D$2:$D$694,'[1]Viirs77-Sol'!$E$2:$E$694)</f>
        <v>10094.54068</v>
      </c>
      <c r="G61" s="7" cm="1">
        <f t="array" ref="G61">_xlfn.XLOOKUP(B61&amp;E61,'[2]Viirs77-Mean'!$A$2:$A$694&amp;'[2]Viirs77-Mean'!$D$2:$D$694,'[2]Viirs77-Mean'!$E$2:$E$694)</f>
        <v>0.838076877</v>
      </c>
      <c r="H61" s="9" cm="1">
        <f t="array" ref="H61">_xlfn.XLOOKUP(D61,cleanprovinces!$B$2:$B$78,_xlfn.XLOOKUP(panel!E61,cleanprovinces!$C$1:$AC$1,cleanprovinces!$C$2:$AC$78,"no",0,1))</f>
        <v>18923</v>
      </c>
      <c r="I61" s="4">
        <f t="shared" si="1"/>
        <v>18923000000</v>
      </c>
      <c r="J61" s="3" cm="1">
        <f t="array" ref="J61">_xlfn.XLOOKUP(D61,[3]Sheet1!$B$2:$B$78,_xlfn.XLOOKUP(E61,[3]Sheet1!$C$1:$AC$1,[3]Sheet1!$C$2:$AC$78))</f>
        <v>296</v>
      </c>
      <c r="K61" s="3">
        <f t="shared" si="0"/>
        <v>296000</v>
      </c>
      <c r="L61" s="3">
        <f t="shared" si="2"/>
        <v>63929.054054054053</v>
      </c>
      <c r="M61" s="10">
        <v>100.02529027987499</v>
      </c>
      <c r="N61" s="10">
        <v>15.1360259530611</v>
      </c>
    </row>
    <row r="62" spans="1:14" hidden="1" x14ac:dyDescent="0.3">
      <c r="A62" s="5">
        <v>66</v>
      </c>
      <c r="B62" s="5" t="str">
        <f>_xlfn.XLOOKUP(D62,'[1]Viirs77-Sol'!$C$2:$C$694,'[1]Viirs77-Sol'!$A$2:$A$694)</f>
        <v>TH-18</v>
      </c>
      <c r="C62" s="5" t="str">
        <f>_xlfn.XLOOKUP(D62,cleanprovinces!$B:$B,cleanprovinces!$A:$A)</f>
        <v>CE</v>
      </c>
      <c r="D62" s="5" t="s">
        <v>99</v>
      </c>
      <c r="E62" s="6">
        <v>2018</v>
      </c>
      <c r="F62" s="7" cm="1">
        <f t="array" ref="F62">_xlfn.XLOOKUP(D62&amp;E62,'[1]Viirs77-Sol'!$C$2:$C$694&amp;'[1]Viirs77-Sol'!$D$2:$D$694,'[1]Viirs77-Sol'!$E$2:$E$694)</f>
        <v>10866.80796</v>
      </c>
      <c r="G62" s="7" cm="1">
        <f t="array" ref="G62">_xlfn.XLOOKUP(B62&amp;E62,'[2]Viirs77-Mean'!$A$2:$A$694&amp;'[2]Viirs77-Mean'!$D$2:$D$694,'[2]Viirs77-Mean'!$E$2:$E$694)</f>
        <v>0.90219265800000004</v>
      </c>
      <c r="H62" s="9" cm="1">
        <f t="array" ref="H62">_xlfn.XLOOKUP(D62,cleanprovinces!$B$2:$B$78,_xlfn.XLOOKUP(panel!E62,cleanprovinces!$C$1:$AC$1,cleanprovinces!$C$2:$AC$78,"no",0,1))</f>
        <v>20402</v>
      </c>
      <c r="I62" s="4">
        <f t="shared" si="1"/>
        <v>20402000000</v>
      </c>
      <c r="J62" s="3" cm="1">
        <f t="array" ref="J62">_xlfn.XLOOKUP(D62,[3]Sheet1!$B$2:$B$78,_xlfn.XLOOKUP(E62,[3]Sheet1!$C$1:$AC$1,[3]Sheet1!$C$2:$AC$78))</f>
        <v>294</v>
      </c>
      <c r="K62" s="3">
        <f t="shared" si="0"/>
        <v>294000</v>
      </c>
      <c r="L62" s="3">
        <f t="shared" si="2"/>
        <v>69394.557823129246</v>
      </c>
      <c r="M62" s="10">
        <v>100.02529027987499</v>
      </c>
      <c r="N62" s="10">
        <v>15.1360259530611</v>
      </c>
    </row>
    <row r="63" spans="1:14" hidden="1" x14ac:dyDescent="0.3">
      <c r="A63" s="5">
        <v>66</v>
      </c>
      <c r="B63" s="5" t="str">
        <f>_xlfn.XLOOKUP(D63,'[1]Viirs77-Sol'!$C$2:$C$694,'[1]Viirs77-Sol'!$A$2:$A$694)</f>
        <v>TH-18</v>
      </c>
      <c r="C63" s="5" t="str">
        <f>_xlfn.XLOOKUP(D63,cleanprovinces!$B:$B,cleanprovinces!$A:$A)</f>
        <v>CE</v>
      </c>
      <c r="D63" s="5" t="s">
        <v>99</v>
      </c>
      <c r="E63" s="6">
        <v>2019</v>
      </c>
      <c r="F63" s="7" cm="1">
        <f t="array" ref="F63">_xlfn.XLOOKUP(D63&amp;E63,'[1]Viirs77-Sol'!$C$2:$C$694&amp;'[1]Viirs77-Sol'!$D$2:$D$694,'[1]Viirs77-Sol'!$E$2:$E$694)</f>
        <v>11790.407869999999</v>
      </c>
      <c r="G63" s="7" cm="1">
        <f t="array" ref="G63">_xlfn.XLOOKUP(B63&amp;E63,'[2]Viirs77-Mean'!$A$2:$A$694&amp;'[2]Viirs77-Mean'!$D$2:$D$694,'[2]Viirs77-Mean'!$E$2:$E$694)</f>
        <v>0.97887249399999998</v>
      </c>
      <c r="H63" s="9" cm="1">
        <f t="array" ref="H63">_xlfn.XLOOKUP(D63,cleanprovinces!$B$2:$B$78,_xlfn.XLOOKUP(panel!E63,cleanprovinces!$C$1:$AC$1,cleanprovinces!$C$2:$AC$78,"no",0,1))</f>
        <v>20807</v>
      </c>
      <c r="I63" s="4">
        <f t="shared" si="1"/>
        <v>20807000000</v>
      </c>
      <c r="J63" s="3" cm="1">
        <f t="array" ref="J63">_xlfn.XLOOKUP(D63,[3]Sheet1!$B$2:$B$78,_xlfn.XLOOKUP(E63,[3]Sheet1!$C$1:$AC$1,[3]Sheet1!$C$2:$AC$78))</f>
        <v>293</v>
      </c>
      <c r="K63" s="3">
        <f t="shared" si="0"/>
        <v>293000</v>
      </c>
      <c r="L63" s="3">
        <f t="shared" si="2"/>
        <v>71013.651877133103</v>
      </c>
      <c r="M63" s="10">
        <v>100.02529027987499</v>
      </c>
      <c r="N63" s="10">
        <v>15.1360259530611</v>
      </c>
    </row>
    <row r="64" spans="1:14" hidden="1" x14ac:dyDescent="0.3">
      <c r="A64" s="5">
        <v>66</v>
      </c>
      <c r="B64" s="5" t="str">
        <f>_xlfn.XLOOKUP(D64,'[1]Viirs77-Sol'!$C$2:$C$694,'[1]Viirs77-Sol'!$A$2:$A$694)</f>
        <v>TH-18</v>
      </c>
      <c r="C64" s="5" t="str">
        <f>_xlfn.XLOOKUP(D64,cleanprovinces!$B:$B,cleanprovinces!$A:$A)</f>
        <v>CE</v>
      </c>
      <c r="D64" s="5" t="s">
        <v>99</v>
      </c>
      <c r="E64" s="6">
        <v>2020</v>
      </c>
      <c r="F64" s="7" cm="1">
        <f t="array" ref="F64">_xlfn.XLOOKUP(D64&amp;E64,'[1]Viirs77-Sol'!$C$2:$C$694&amp;'[1]Viirs77-Sol'!$D$2:$D$694,'[1]Viirs77-Sol'!$E$2:$E$694)</f>
        <v>12430.2284</v>
      </c>
      <c r="G64" s="7" cm="1">
        <f t="array" ref="G64">_xlfn.XLOOKUP(B64&amp;E64,'[2]Viirs77-Mean'!$A$2:$A$694&amp;'[2]Viirs77-Mean'!$D$2:$D$694,'[2]Viirs77-Mean'!$E$2:$E$694)</f>
        <v>1.0319921759999999</v>
      </c>
      <c r="H64" s="9" cm="1">
        <f t="array" ref="H64">_xlfn.XLOOKUP(D64,cleanprovinces!$B$2:$B$78,_xlfn.XLOOKUP(panel!E64,cleanprovinces!$C$1:$AC$1,cleanprovinces!$C$2:$AC$78,"no",0,1))</f>
        <v>19738</v>
      </c>
      <c r="I64" s="4">
        <f t="shared" si="1"/>
        <v>19738000000</v>
      </c>
      <c r="J64" s="3" cm="1">
        <f t="array" ref="J64">_xlfn.XLOOKUP(D64,[3]Sheet1!$B$2:$B$78,_xlfn.XLOOKUP(E64,[3]Sheet1!$C$1:$AC$1,[3]Sheet1!$C$2:$AC$78))</f>
        <v>291</v>
      </c>
      <c r="K64" s="3">
        <f t="shared" si="0"/>
        <v>291000</v>
      </c>
      <c r="L64" s="3">
        <f t="shared" si="2"/>
        <v>67828.178694158079</v>
      </c>
      <c r="M64" s="10">
        <v>100.02529027987499</v>
      </c>
      <c r="N64" s="10">
        <v>15.1360259530611</v>
      </c>
    </row>
    <row r="65" spans="1:14" hidden="1" x14ac:dyDescent="0.3">
      <c r="A65" s="5">
        <v>66</v>
      </c>
      <c r="B65" s="5" t="str">
        <f>_xlfn.XLOOKUP(D65,'[1]Viirs77-Sol'!$C$2:$C$694,'[1]Viirs77-Sol'!$A$2:$A$694)</f>
        <v>TH-18</v>
      </c>
      <c r="C65" s="5" t="str">
        <f>_xlfn.XLOOKUP(D65,cleanprovinces!$B:$B,cleanprovinces!$A:$A)</f>
        <v>CE</v>
      </c>
      <c r="D65" s="5" t="s">
        <v>99</v>
      </c>
      <c r="E65" s="6">
        <v>2021</v>
      </c>
      <c r="F65" s="7" cm="1">
        <f t="array" ref="F65">_xlfn.XLOOKUP(D65&amp;E65,'[1]Viirs77-Sol'!$C$2:$C$694&amp;'[1]Viirs77-Sol'!$D$2:$D$694,'[1]Viirs77-Sol'!$E$2:$E$694)</f>
        <v>15401.43086</v>
      </c>
      <c r="G65" s="7" cm="1">
        <f t="array" ref="G65">_xlfn.XLOOKUP(B65&amp;E65,'[2]Viirs77-Mean'!$A$2:$A$694&amp;'[2]Viirs77-Mean'!$D$2:$D$694,'[2]Viirs77-Mean'!$E$2:$E$694)</f>
        <v>1.278669678</v>
      </c>
      <c r="H65" s="9" cm="1">
        <f t="array" ref="H65">_xlfn.XLOOKUP(D65,cleanprovinces!$B$2:$B$78,_xlfn.XLOOKUP(panel!E65,cleanprovinces!$C$1:$AC$1,cleanprovinces!$C$2:$AC$78,"no",0,1))</f>
        <v>20915</v>
      </c>
      <c r="I65" s="4">
        <f t="shared" si="1"/>
        <v>20915000000</v>
      </c>
      <c r="J65" s="3" cm="1">
        <f t="array" ref="J65">_xlfn.XLOOKUP(D65,[3]Sheet1!$B$2:$B$78,_xlfn.XLOOKUP(E65,[3]Sheet1!$C$1:$AC$1,[3]Sheet1!$C$2:$AC$78))</f>
        <v>289</v>
      </c>
      <c r="K65" s="3">
        <f t="shared" si="0"/>
        <v>289000</v>
      </c>
      <c r="L65" s="3">
        <f t="shared" si="2"/>
        <v>72370.242214532875</v>
      </c>
      <c r="M65" s="10">
        <v>100.02529027987499</v>
      </c>
      <c r="N65" s="10">
        <v>15.1360259530611</v>
      </c>
    </row>
    <row r="66" spans="1:14" hidden="1" x14ac:dyDescent="0.3">
      <c r="A66" s="5">
        <v>62</v>
      </c>
      <c r="B66" s="5" t="str">
        <f>_xlfn.XLOOKUP(D66,'[1]Viirs77-Sol'!$C$2:$C$694,'[1]Viirs77-Sol'!$A$2:$A$694)</f>
        <v>TH-16</v>
      </c>
      <c r="C66" s="5" t="str">
        <f>_xlfn.XLOOKUP(D66,cleanprovinces!$B:$B,cleanprovinces!$A:$A)</f>
        <v>CE</v>
      </c>
      <c r="D66" s="5" t="s">
        <v>101</v>
      </c>
      <c r="E66" s="6">
        <v>2014</v>
      </c>
      <c r="F66" s="7" cm="1">
        <f t="array" ref="F66">_xlfn.XLOOKUP(D66&amp;E66,'[1]Viirs77-Sol'!$C$2:$C$694&amp;'[1]Viirs77-Sol'!$D$2:$D$694,'[1]Viirs77-Sol'!$E$2:$E$694)</f>
        <v>13012.895109999999</v>
      </c>
      <c r="G66" s="7" cm="1">
        <f t="array" ref="G66">_xlfn.XLOOKUP(B66&amp;E66,'[2]Viirs77-Mean'!$A$2:$A$694&amp;'[2]Viirs77-Mean'!$D$2:$D$694,'[2]Viirs77-Mean'!$E$2:$E$694)</f>
        <v>0.44798907799999999</v>
      </c>
      <c r="H66" s="9" cm="1">
        <f t="array" ref="H66">_xlfn.XLOOKUP(D66,cleanprovinces!$B$2:$B$78,_xlfn.XLOOKUP(panel!E66,cleanprovinces!$C$1:$AC$1,cleanprovinces!$C$2:$AC$78,"no",0,1))</f>
        <v>60247</v>
      </c>
      <c r="I66" s="4">
        <f t="shared" si="1"/>
        <v>60247000000</v>
      </c>
      <c r="J66" s="3" cm="1">
        <f t="array" ref="J66">_xlfn.XLOOKUP(D66,[3]Sheet1!$B$2:$B$78,_xlfn.XLOOKUP(E66,[3]Sheet1!$C$1:$AC$1,[3]Sheet1!$C$2:$AC$78))</f>
        <v>777</v>
      </c>
      <c r="K66" s="3">
        <f t="shared" ref="K66:K129" si="3">J66*1000</f>
        <v>777000</v>
      </c>
      <c r="L66" s="3">
        <f t="shared" si="2"/>
        <v>77537.966537966538</v>
      </c>
      <c r="M66" s="10">
        <v>100.87509277913701</v>
      </c>
      <c r="N66" s="10">
        <v>15.0908507276498</v>
      </c>
    </row>
    <row r="67" spans="1:14" hidden="1" x14ac:dyDescent="0.3">
      <c r="A67" s="5">
        <v>62</v>
      </c>
      <c r="B67" s="5" t="str">
        <f>_xlfn.XLOOKUP(D67,'[1]Viirs77-Sol'!$C$2:$C$694,'[1]Viirs77-Sol'!$A$2:$A$694)</f>
        <v>TH-16</v>
      </c>
      <c r="C67" s="5" t="str">
        <f>_xlfn.XLOOKUP(D67,cleanprovinces!$B:$B,cleanprovinces!$A:$A)</f>
        <v>CE</v>
      </c>
      <c r="D67" s="5" t="s">
        <v>101</v>
      </c>
      <c r="E67" s="6">
        <v>2015</v>
      </c>
      <c r="F67" s="7" cm="1">
        <f t="array" ref="F67">_xlfn.XLOOKUP(D67&amp;E67,'[1]Viirs77-Sol'!$C$2:$C$694&amp;'[1]Viirs77-Sol'!$D$2:$D$694,'[1]Viirs77-Sol'!$E$2:$E$694)</f>
        <v>14490.23055</v>
      </c>
      <c r="G67" s="7" cm="1">
        <f t="array" ref="G67">_xlfn.XLOOKUP(B67&amp;E67,'[2]Viirs77-Mean'!$A$2:$A$694&amp;'[2]Viirs77-Mean'!$D$2:$D$694,'[2]Viirs77-Mean'!$E$2:$E$694)</f>
        <v>0.49884864000000001</v>
      </c>
      <c r="H67" s="9" cm="1">
        <f t="array" ref="H67">_xlfn.XLOOKUP(D67,cleanprovinces!$B$2:$B$78,_xlfn.XLOOKUP(panel!E67,cleanprovinces!$C$1:$AC$1,cleanprovinces!$C$2:$AC$78,"no",0,1))</f>
        <v>58638</v>
      </c>
      <c r="I67" s="4">
        <f t="shared" ref="I67:I130" si="4">H67*1000000</f>
        <v>58638000000</v>
      </c>
      <c r="J67" s="3" cm="1">
        <f t="array" ref="J67">_xlfn.XLOOKUP(D67,[3]Sheet1!$B$2:$B$78,_xlfn.XLOOKUP(E67,[3]Sheet1!$C$1:$AC$1,[3]Sheet1!$C$2:$AC$78))</f>
        <v>779</v>
      </c>
      <c r="K67" s="3">
        <f t="shared" si="3"/>
        <v>779000</v>
      </c>
      <c r="L67" s="3">
        <f t="shared" ref="L67:L130" si="5">I67/K67</f>
        <v>75273.427471116811</v>
      </c>
      <c r="M67" s="10">
        <v>100.87509277913701</v>
      </c>
      <c r="N67" s="10">
        <v>15.0908507276498</v>
      </c>
    </row>
    <row r="68" spans="1:14" hidden="1" x14ac:dyDescent="0.3">
      <c r="A68" s="5">
        <v>62</v>
      </c>
      <c r="B68" s="5" t="str">
        <f>_xlfn.XLOOKUP(D68,'[1]Viirs77-Sol'!$C$2:$C$694,'[1]Viirs77-Sol'!$A$2:$A$694)</f>
        <v>TH-16</v>
      </c>
      <c r="C68" s="5" t="str">
        <f>_xlfn.XLOOKUP(D68,cleanprovinces!$B:$B,cleanprovinces!$A:$A)</f>
        <v>CE</v>
      </c>
      <c r="D68" s="5" t="s">
        <v>101</v>
      </c>
      <c r="E68" s="6">
        <v>2016</v>
      </c>
      <c r="F68" s="7" cm="1">
        <f t="array" ref="F68">_xlfn.XLOOKUP(D68&amp;E68,'[1]Viirs77-Sol'!$C$2:$C$694&amp;'[1]Viirs77-Sol'!$D$2:$D$694,'[1]Viirs77-Sol'!$E$2:$E$694)</f>
        <v>15649.561390000001</v>
      </c>
      <c r="G68" s="7" cm="1">
        <f t="array" ref="G68">_xlfn.XLOOKUP(B68&amp;E68,'[2]Viirs77-Mean'!$A$2:$A$694&amp;'[2]Viirs77-Mean'!$D$2:$D$694,'[2]Viirs77-Mean'!$E$2:$E$694)</f>
        <v>0.53876040000000003</v>
      </c>
      <c r="H68" s="9" cm="1">
        <f t="array" ref="H68">_xlfn.XLOOKUP(D68,cleanprovinces!$B$2:$B$78,_xlfn.XLOOKUP(panel!E68,cleanprovinces!$C$1:$AC$1,cleanprovinces!$C$2:$AC$78,"no",0,1))</f>
        <v>60131</v>
      </c>
      <c r="I68" s="4">
        <f t="shared" si="4"/>
        <v>60131000000</v>
      </c>
      <c r="J68" s="3" cm="1">
        <f t="array" ref="J68">_xlfn.XLOOKUP(D68,[3]Sheet1!$B$2:$B$78,_xlfn.XLOOKUP(E68,[3]Sheet1!$C$1:$AC$1,[3]Sheet1!$C$2:$AC$78))</f>
        <v>779</v>
      </c>
      <c r="K68" s="3">
        <f t="shared" si="3"/>
        <v>779000</v>
      </c>
      <c r="L68" s="3">
        <f t="shared" si="5"/>
        <v>77189.987163029524</v>
      </c>
      <c r="M68" s="10">
        <v>100.87509277913701</v>
      </c>
      <c r="N68" s="10">
        <v>15.0908507276498</v>
      </c>
    </row>
    <row r="69" spans="1:14" hidden="1" x14ac:dyDescent="0.3">
      <c r="A69" s="5">
        <v>62</v>
      </c>
      <c r="B69" s="5" t="str">
        <f>_xlfn.XLOOKUP(D69,'[1]Viirs77-Sol'!$C$2:$C$694,'[1]Viirs77-Sol'!$A$2:$A$694)</f>
        <v>TH-16</v>
      </c>
      <c r="C69" s="5" t="str">
        <f>_xlfn.XLOOKUP(D69,cleanprovinces!$B:$B,cleanprovinces!$A:$A)</f>
        <v>CE</v>
      </c>
      <c r="D69" s="5" t="s">
        <v>101</v>
      </c>
      <c r="E69" s="6">
        <v>2017</v>
      </c>
      <c r="F69" s="7" cm="1">
        <f t="array" ref="F69">_xlfn.XLOOKUP(D69&amp;E69,'[1]Viirs77-Sol'!$C$2:$C$694&amp;'[1]Viirs77-Sol'!$D$2:$D$694,'[1]Viirs77-Sol'!$E$2:$E$694)</f>
        <v>19556.517199999998</v>
      </c>
      <c r="G69" s="7" cm="1">
        <f t="array" ref="G69">_xlfn.XLOOKUP(B69&amp;E69,'[2]Viirs77-Mean'!$A$2:$A$694&amp;'[2]Viirs77-Mean'!$D$2:$D$694,'[2]Viirs77-Mean'!$E$2:$E$694)</f>
        <v>0.67326340799999995</v>
      </c>
      <c r="H69" s="9" cm="1">
        <f t="array" ref="H69">_xlfn.XLOOKUP(D69,cleanprovinces!$B$2:$B$78,_xlfn.XLOOKUP(panel!E69,cleanprovinces!$C$1:$AC$1,cleanprovinces!$C$2:$AC$78,"no",0,1))</f>
        <v>64215</v>
      </c>
      <c r="I69" s="4">
        <f t="shared" si="4"/>
        <v>64215000000</v>
      </c>
      <c r="J69" s="3" cm="1">
        <f t="array" ref="J69">_xlfn.XLOOKUP(D69,[3]Sheet1!$B$2:$B$78,_xlfn.XLOOKUP(E69,[3]Sheet1!$C$1:$AC$1,[3]Sheet1!$C$2:$AC$78))</f>
        <v>778</v>
      </c>
      <c r="K69" s="3">
        <f t="shared" si="3"/>
        <v>778000</v>
      </c>
      <c r="L69" s="3">
        <f t="shared" si="5"/>
        <v>82538.56041131106</v>
      </c>
      <c r="M69" s="10">
        <v>100.87509277913701</v>
      </c>
      <c r="N69" s="10">
        <v>15.0908507276498</v>
      </c>
    </row>
    <row r="70" spans="1:14" hidden="1" x14ac:dyDescent="0.3">
      <c r="A70" s="5">
        <v>62</v>
      </c>
      <c r="B70" s="5" t="str">
        <f>_xlfn.XLOOKUP(D70,'[1]Viirs77-Sol'!$C$2:$C$694,'[1]Viirs77-Sol'!$A$2:$A$694)</f>
        <v>TH-16</v>
      </c>
      <c r="C70" s="5" t="str">
        <f>_xlfn.XLOOKUP(D70,cleanprovinces!$B:$B,cleanprovinces!$A:$A)</f>
        <v>CE</v>
      </c>
      <c r="D70" s="5" t="s">
        <v>101</v>
      </c>
      <c r="E70" s="6">
        <v>2018</v>
      </c>
      <c r="F70" s="7" cm="1">
        <f t="array" ref="F70">_xlfn.XLOOKUP(D70&amp;E70,'[1]Viirs77-Sol'!$C$2:$C$694&amp;'[1]Viirs77-Sol'!$D$2:$D$694,'[1]Viirs77-Sol'!$E$2:$E$694)</f>
        <v>18641.31364</v>
      </c>
      <c r="G70" s="7" cm="1">
        <f t="array" ref="G70">_xlfn.XLOOKUP(B70&amp;E70,'[2]Viirs77-Mean'!$A$2:$A$694&amp;'[2]Viirs77-Mean'!$D$2:$D$694,'[2]Viirs77-Mean'!$E$2:$E$694)</f>
        <v>0.64175610699999996</v>
      </c>
      <c r="H70" s="9" cm="1">
        <f t="array" ref="H70">_xlfn.XLOOKUP(D70,cleanprovinces!$B$2:$B$78,_xlfn.XLOOKUP(panel!E70,cleanprovinces!$C$1:$AC$1,cleanprovinces!$C$2:$AC$78,"no",0,1))</f>
        <v>64515</v>
      </c>
      <c r="I70" s="4">
        <f t="shared" si="4"/>
        <v>64515000000</v>
      </c>
      <c r="J70" s="3" cm="1">
        <f t="array" ref="J70">_xlfn.XLOOKUP(D70,[3]Sheet1!$B$2:$B$78,_xlfn.XLOOKUP(E70,[3]Sheet1!$C$1:$AC$1,[3]Sheet1!$C$2:$AC$78))</f>
        <v>777</v>
      </c>
      <c r="K70" s="3">
        <f t="shared" si="3"/>
        <v>777000</v>
      </c>
      <c r="L70" s="3">
        <f t="shared" si="5"/>
        <v>83030.888030888033</v>
      </c>
      <c r="M70" s="10">
        <v>100.87509277913701</v>
      </c>
      <c r="N70" s="10">
        <v>15.0908507276498</v>
      </c>
    </row>
    <row r="71" spans="1:14" hidden="1" x14ac:dyDescent="0.3">
      <c r="A71" s="5">
        <v>62</v>
      </c>
      <c r="B71" s="5" t="str">
        <f>_xlfn.XLOOKUP(D71,'[1]Viirs77-Sol'!$C$2:$C$694,'[1]Viirs77-Sol'!$A$2:$A$694)</f>
        <v>TH-16</v>
      </c>
      <c r="C71" s="5" t="str">
        <f>_xlfn.XLOOKUP(D71,cleanprovinces!$B:$B,cleanprovinces!$A:$A)</f>
        <v>CE</v>
      </c>
      <c r="D71" s="5" t="s">
        <v>101</v>
      </c>
      <c r="E71" s="6">
        <v>2019</v>
      </c>
      <c r="F71" s="7" cm="1">
        <f t="array" ref="F71">_xlfn.XLOOKUP(D71&amp;E71,'[1]Viirs77-Sol'!$C$2:$C$694&amp;'[1]Viirs77-Sol'!$D$2:$D$694,'[1]Viirs77-Sol'!$E$2:$E$694)</f>
        <v>19327.16216</v>
      </c>
      <c r="G71" s="7" cm="1">
        <f t="array" ref="G71">_xlfn.XLOOKUP(B71&amp;E71,'[2]Viirs77-Mean'!$A$2:$A$694&amp;'[2]Viirs77-Mean'!$D$2:$D$694,'[2]Viirs77-Mean'!$E$2:$E$694)</f>
        <v>0.66536750600000005</v>
      </c>
      <c r="H71" s="9" cm="1">
        <f t="array" ref="H71">_xlfn.XLOOKUP(D71,cleanprovinces!$B$2:$B$78,_xlfn.XLOOKUP(panel!E71,cleanprovinces!$C$1:$AC$1,cleanprovinces!$C$2:$AC$78,"no",0,1))</f>
        <v>65121</v>
      </c>
      <c r="I71" s="4">
        <f t="shared" si="4"/>
        <v>65121000000</v>
      </c>
      <c r="J71" s="3" cm="1">
        <f t="array" ref="J71">_xlfn.XLOOKUP(D71,[3]Sheet1!$B$2:$B$78,_xlfn.XLOOKUP(E71,[3]Sheet1!$C$1:$AC$1,[3]Sheet1!$C$2:$AC$78))</f>
        <v>776</v>
      </c>
      <c r="K71" s="3">
        <f t="shared" si="3"/>
        <v>776000</v>
      </c>
      <c r="L71" s="3">
        <f t="shared" si="5"/>
        <v>83918.81443298969</v>
      </c>
      <c r="M71" s="10">
        <v>100.87509277913701</v>
      </c>
      <c r="N71" s="10">
        <v>15.0908507276498</v>
      </c>
    </row>
    <row r="72" spans="1:14" hidden="1" x14ac:dyDescent="0.3">
      <c r="A72" s="5">
        <v>62</v>
      </c>
      <c r="B72" s="5" t="str">
        <f>_xlfn.XLOOKUP(D72,'[1]Viirs77-Sol'!$C$2:$C$694,'[1]Viirs77-Sol'!$A$2:$A$694)</f>
        <v>TH-16</v>
      </c>
      <c r="C72" s="5" t="str">
        <f>_xlfn.XLOOKUP(D72,cleanprovinces!$B:$B,cleanprovinces!$A:$A)</f>
        <v>CE</v>
      </c>
      <c r="D72" s="5" t="s">
        <v>101</v>
      </c>
      <c r="E72" s="6">
        <v>2020</v>
      </c>
      <c r="F72" s="7" cm="1">
        <f t="array" ref="F72">_xlfn.XLOOKUP(D72&amp;E72,'[1]Viirs77-Sol'!$C$2:$C$694&amp;'[1]Viirs77-Sol'!$D$2:$D$694,'[1]Viirs77-Sol'!$E$2:$E$694)</f>
        <v>20518.520939999999</v>
      </c>
      <c r="G72" s="7" cm="1">
        <f t="array" ref="G72">_xlfn.XLOOKUP(B72&amp;E72,'[2]Viirs77-Mean'!$A$2:$A$694&amp;'[2]Viirs77-Mean'!$D$2:$D$694,'[2]Viirs77-Mean'!$E$2:$E$694)</f>
        <v>0.70638187799999996</v>
      </c>
      <c r="H72" s="9" cm="1">
        <f t="array" ref="H72">_xlfn.XLOOKUP(D72,cleanprovinces!$B$2:$B$78,_xlfn.XLOOKUP(panel!E72,cleanprovinces!$C$1:$AC$1,cleanprovinces!$C$2:$AC$78,"no",0,1))</f>
        <v>61104</v>
      </c>
      <c r="I72" s="4">
        <f t="shared" si="4"/>
        <v>61104000000</v>
      </c>
      <c r="J72" s="3" cm="1">
        <f t="array" ref="J72">_xlfn.XLOOKUP(D72,[3]Sheet1!$B$2:$B$78,_xlfn.XLOOKUP(E72,[3]Sheet1!$C$1:$AC$1,[3]Sheet1!$C$2:$AC$78))</f>
        <v>775</v>
      </c>
      <c r="K72" s="3">
        <f t="shared" si="3"/>
        <v>775000</v>
      </c>
      <c r="L72" s="3">
        <f t="shared" si="5"/>
        <v>78843.870967741939</v>
      </c>
      <c r="M72" s="10">
        <v>100.87509277913701</v>
      </c>
      <c r="N72" s="10">
        <v>15.0908507276498</v>
      </c>
    </row>
    <row r="73" spans="1:14" hidden="1" x14ac:dyDescent="0.3">
      <c r="A73" s="5">
        <v>62</v>
      </c>
      <c r="B73" s="5" t="str">
        <f>_xlfn.XLOOKUP(D73,'[1]Viirs77-Sol'!$C$2:$C$694,'[1]Viirs77-Sol'!$A$2:$A$694)</f>
        <v>TH-16</v>
      </c>
      <c r="C73" s="5" t="str">
        <f>_xlfn.XLOOKUP(D73,cleanprovinces!$B:$B,cleanprovinces!$A:$A)</f>
        <v>CE</v>
      </c>
      <c r="D73" s="5" t="s">
        <v>101</v>
      </c>
      <c r="E73" s="6">
        <v>2021</v>
      </c>
      <c r="F73" s="7" cm="1">
        <f t="array" ref="F73">_xlfn.XLOOKUP(D73&amp;E73,'[1]Viirs77-Sol'!$C$2:$C$694&amp;'[1]Viirs77-Sol'!$D$2:$D$694,'[1]Viirs77-Sol'!$E$2:$E$694)</f>
        <v>22962.055550000001</v>
      </c>
      <c r="G73" s="7" cm="1">
        <f t="array" ref="G73">_xlfn.XLOOKUP(B73&amp;E73,'[2]Viirs77-Mean'!$A$2:$A$694&amp;'[2]Viirs77-Mean'!$D$2:$D$694,'[2]Viirs77-Mean'!$E$2:$E$694)</f>
        <v>0.79050434300000005</v>
      </c>
      <c r="H73" s="9" cm="1">
        <f t="array" ref="H73">_xlfn.XLOOKUP(D73,cleanprovinces!$B$2:$B$78,_xlfn.XLOOKUP(panel!E73,cleanprovinces!$C$1:$AC$1,cleanprovinces!$C$2:$AC$78,"no",0,1))</f>
        <v>62435</v>
      </c>
      <c r="I73" s="4">
        <f t="shared" si="4"/>
        <v>62435000000</v>
      </c>
      <c r="J73" s="3" cm="1">
        <f t="array" ref="J73">_xlfn.XLOOKUP(D73,[3]Sheet1!$B$2:$B$78,_xlfn.XLOOKUP(E73,[3]Sheet1!$C$1:$AC$1,[3]Sheet1!$C$2:$AC$78))</f>
        <v>774</v>
      </c>
      <c r="K73" s="3">
        <f t="shared" si="3"/>
        <v>774000</v>
      </c>
      <c r="L73" s="3">
        <f t="shared" si="5"/>
        <v>80665.37467700259</v>
      </c>
      <c r="M73" s="10">
        <v>100.87509277913701</v>
      </c>
      <c r="N73" s="10">
        <v>15.0908507276498</v>
      </c>
    </row>
    <row r="74" spans="1:14" hidden="1" x14ac:dyDescent="0.3">
      <c r="A74" s="5">
        <v>53</v>
      </c>
      <c r="B74" s="5" t="str">
        <f>_xlfn.XLOOKUP(D74,'[1]Viirs77-Sol'!$C$2:$C$694,'[1]Viirs77-Sol'!$A$2:$A$694)</f>
        <v>TH-14</v>
      </c>
      <c r="C74" s="5" t="str">
        <f>_xlfn.XLOOKUP(D74,cleanprovinces!$B:$B,cleanprovinces!$A:$A)</f>
        <v>CE</v>
      </c>
      <c r="D74" s="5" t="s">
        <v>102</v>
      </c>
      <c r="E74" s="6">
        <v>2014</v>
      </c>
      <c r="F74" s="7" cm="1">
        <f t="array" ref="F74">_xlfn.XLOOKUP(D74&amp;E74,'[1]Viirs77-Sol'!$C$2:$C$694&amp;'[1]Viirs77-Sol'!$D$2:$D$694,'[1]Viirs77-Sol'!$E$2:$E$694)</f>
        <v>40786.414579999997</v>
      </c>
      <c r="G74" s="7" cm="1">
        <f t="array" ref="G74">_xlfn.XLOOKUP(B74&amp;E74,'[2]Viirs77-Mean'!$A$2:$A$694&amp;'[2]Viirs77-Mean'!$D$2:$D$694,'[2]Viirs77-Mean'!$E$2:$E$694)</f>
        <v>3.4134217750000002</v>
      </c>
      <c r="H74" s="9" cm="1">
        <f t="array" ref="H74">_xlfn.XLOOKUP(D74,cleanprovinces!$B$2:$B$78,_xlfn.XLOOKUP(panel!E74,cleanprovinces!$C$1:$AC$1,cleanprovinces!$C$2:$AC$78,"no",0,1))</f>
        <v>285784</v>
      </c>
      <c r="I74" s="4">
        <f t="shared" si="4"/>
        <v>285784000000</v>
      </c>
      <c r="J74" s="3" cm="1">
        <f t="array" ref="J74">_xlfn.XLOOKUP(D74,[3]Sheet1!$B$2:$B$78,_xlfn.XLOOKUP(E74,[3]Sheet1!$C$1:$AC$1,[3]Sheet1!$C$2:$AC$78))</f>
        <v>888</v>
      </c>
      <c r="K74" s="3">
        <f t="shared" si="3"/>
        <v>888000</v>
      </c>
      <c r="L74" s="3">
        <f t="shared" si="5"/>
        <v>321828.82882882882</v>
      </c>
      <c r="M74" s="10">
        <v>100.527397108304</v>
      </c>
      <c r="N74" s="10">
        <v>14.3413793785006</v>
      </c>
    </row>
    <row r="75" spans="1:14" hidden="1" x14ac:dyDescent="0.3">
      <c r="A75" s="5">
        <v>53</v>
      </c>
      <c r="B75" s="5" t="str">
        <f>_xlfn.XLOOKUP(D75,'[1]Viirs77-Sol'!$C$2:$C$694,'[1]Viirs77-Sol'!$A$2:$A$694)</f>
        <v>TH-14</v>
      </c>
      <c r="C75" s="5" t="str">
        <f>_xlfn.XLOOKUP(D75,cleanprovinces!$B:$B,cleanprovinces!$A:$A)</f>
        <v>CE</v>
      </c>
      <c r="D75" s="5" t="s">
        <v>102</v>
      </c>
      <c r="E75" s="6">
        <v>2015</v>
      </c>
      <c r="F75" s="7" cm="1">
        <f t="array" ref="F75">_xlfn.XLOOKUP(D75&amp;E75,'[1]Viirs77-Sol'!$C$2:$C$694&amp;'[1]Viirs77-Sol'!$D$2:$D$694,'[1]Viirs77-Sol'!$E$2:$E$694)</f>
        <v>43689.231919999998</v>
      </c>
      <c r="G75" s="7" cm="1">
        <f t="array" ref="G75">_xlfn.XLOOKUP(B75&amp;E75,'[2]Viirs77-Mean'!$A$2:$A$694&amp;'[2]Viirs77-Mean'!$D$2:$D$694,'[2]Viirs77-Mean'!$E$2:$E$694)</f>
        <v>3.6563590380000002</v>
      </c>
      <c r="H75" s="9" cm="1">
        <f t="array" ref="H75">_xlfn.XLOOKUP(D75,cleanprovinces!$B$2:$B$78,_xlfn.XLOOKUP(panel!E75,cleanprovinces!$C$1:$AC$1,cleanprovinces!$C$2:$AC$78,"no",0,1))</f>
        <v>320034</v>
      </c>
      <c r="I75" s="4">
        <f t="shared" si="4"/>
        <v>320034000000</v>
      </c>
      <c r="J75" s="3" cm="1">
        <f t="array" ref="J75">_xlfn.XLOOKUP(D75,[3]Sheet1!$B$2:$B$78,_xlfn.XLOOKUP(E75,[3]Sheet1!$C$1:$AC$1,[3]Sheet1!$C$2:$AC$78))</f>
        <v>893</v>
      </c>
      <c r="K75" s="3">
        <f t="shared" si="3"/>
        <v>893000</v>
      </c>
      <c r="L75" s="3">
        <f t="shared" si="5"/>
        <v>358380.7390817469</v>
      </c>
      <c r="M75" s="10">
        <v>100.527397108304</v>
      </c>
      <c r="N75" s="10">
        <v>14.3413793785006</v>
      </c>
    </row>
    <row r="76" spans="1:14" hidden="1" x14ac:dyDescent="0.3">
      <c r="A76" s="5">
        <v>53</v>
      </c>
      <c r="B76" s="5" t="str">
        <f>_xlfn.XLOOKUP(D76,'[1]Viirs77-Sol'!$C$2:$C$694,'[1]Viirs77-Sol'!$A$2:$A$694)</f>
        <v>TH-14</v>
      </c>
      <c r="C76" s="5" t="str">
        <f>_xlfn.XLOOKUP(D76,cleanprovinces!$B:$B,cleanprovinces!$A:$A)</f>
        <v>CE</v>
      </c>
      <c r="D76" s="5" t="s">
        <v>102</v>
      </c>
      <c r="E76" s="6">
        <v>2016</v>
      </c>
      <c r="F76" s="7" cm="1">
        <f t="array" ref="F76">_xlfn.XLOOKUP(D76&amp;E76,'[1]Viirs77-Sol'!$C$2:$C$694&amp;'[1]Viirs77-Sol'!$D$2:$D$694,'[1]Viirs77-Sol'!$E$2:$E$694)</f>
        <v>44265.551910000002</v>
      </c>
      <c r="G76" s="7" cm="1">
        <f t="array" ref="G76">_xlfn.XLOOKUP(B76&amp;E76,'[2]Viirs77-Mean'!$A$2:$A$694&amp;'[2]Viirs77-Mean'!$D$2:$D$694,'[2]Viirs77-Mean'!$E$2:$E$694)</f>
        <v>3.7045913530000001</v>
      </c>
      <c r="H76" s="9" cm="1">
        <f t="array" ref="H76">_xlfn.XLOOKUP(D76,cleanprovinces!$B$2:$B$78,_xlfn.XLOOKUP(panel!E76,cleanprovinces!$C$1:$AC$1,cleanprovinces!$C$2:$AC$78,"no",0,1))</f>
        <v>309266</v>
      </c>
      <c r="I76" s="4">
        <f t="shared" si="4"/>
        <v>309266000000</v>
      </c>
      <c r="J76" s="3" cm="1">
        <f t="array" ref="J76">_xlfn.XLOOKUP(D76,[3]Sheet1!$B$2:$B$78,_xlfn.XLOOKUP(E76,[3]Sheet1!$C$1:$AC$1,[3]Sheet1!$C$2:$AC$78))</f>
        <v>898</v>
      </c>
      <c r="K76" s="3">
        <f t="shared" si="3"/>
        <v>898000</v>
      </c>
      <c r="L76" s="3">
        <f t="shared" si="5"/>
        <v>344394.20935412025</v>
      </c>
      <c r="M76" s="10">
        <v>100.527397108304</v>
      </c>
      <c r="N76" s="10">
        <v>14.3413793785006</v>
      </c>
    </row>
    <row r="77" spans="1:14" hidden="1" x14ac:dyDescent="0.3">
      <c r="A77" s="5">
        <v>53</v>
      </c>
      <c r="B77" s="5" t="str">
        <f>_xlfn.XLOOKUP(D77,'[1]Viirs77-Sol'!$C$2:$C$694,'[1]Viirs77-Sol'!$A$2:$A$694)</f>
        <v>TH-14</v>
      </c>
      <c r="C77" s="5" t="str">
        <f>_xlfn.XLOOKUP(D77,cleanprovinces!$B:$B,cleanprovinces!$A:$A)</f>
        <v>CE</v>
      </c>
      <c r="D77" s="5" t="s">
        <v>102</v>
      </c>
      <c r="E77" s="6">
        <v>2017</v>
      </c>
      <c r="F77" s="7" cm="1">
        <f t="array" ref="F77">_xlfn.XLOOKUP(D77&amp;E77,'[1]Viirs77-Sol'!$C$2:$C$694&amp;'[1]Viirs77-Sol'!$D$2:$D$694,'[1]Viirs77-Sol'!$E$2:$E$694)</f>
        <v>46655.831870000002</v>
      </c>
      <c r="G77" s="7" cm="1">
        <f t="array" ref="G77">_xlfn.XLOOKUP(B77&amp;E77,'[2]Viirs77-Mean'!$A$2:$A$694&amp;'[2]Viirs77-Mean'!$D$2:$D$694,'[2]Viirs77-Mean'!$E$2:$E$694)</f>
        <v>3.9046342780000001</v>
      </c>
      <c r="H77" s="9" cm="1">
        <f t="array" ref="H77">_xlfn.XLOOKUP(D77,cleanprovinces!$B$2:$B$78,_xlfn.XLOOKUP(panel!E77,cleanprovinces!$C$1:$AC$1,cleanprovinces!$C$2:$AC$78,"no",0,1))</f>
        <v>310515</v>
      </c>
      <c r="I77" s="4">
        <f t="shared" si="4"/>
        <v>310515000000</v>
      </c>
      <c r="J77" s="3" cm="1">
        <f t="array" ref="J77">_xlfn.XLOOKUP(D77,[3]Sheet1!$B$2:$B$78,_xlfn.XLOOKUP(E77,[3]Sheet1!$C$1:$AC$1,[3]Sheet1!$C$2:$AC$78))</f>
        <v>902</v>
      </c>
      <c r="K77" s="3">
        <f t="shared" si="3"/>
        <v>902000</v>
      </c>
      <c r="L77" s="3">
        <f t="shared" si="5"/>
        <v>344251.66297117516</v>
      </c>
      <c r="M77" s="10">
        <v>100.527397108304</v>
      </c>
      <c r="N77" s="10">
        <v>14.3413793785006</v>
      </c>
    </row>
    <row r="78" spans="1:14" hidden="1" x14ac:dyDescent="0.3">
      <c r="A78" s="5">
        <v>53</v>
      </c>
      <c r="B78" s="5" t="str">
        <f>_xlfn.XLOOKUP(D78,'[1]Viirs77-Sol'!$C$2:$C$694,'[1]Viirs77-Sol'!$A$2:$A$694)</f>
        <v>TH-14</v>
      </c>
      <c r="C78" s="5" t="str">
        <f>_xlfn.XLOOKUP(D78,cleanprovinces!$B:$B,cleanprovinces!$A:$A)</f>
        <v>CE</v>
      </c>
      <c r="D78" s="5" t="s">
        <v>102</v>
      </c>
      <c r="E78" s="6">
        <v>2018</v>
      </c>
      <c r="F78" s="7" cm="1">
        <f t="array" ref="F78">_xlfn.XLOOKUP(D78&amp;E78,'[1]Viirs77-Sol'!$C$2:$C$694&amp;'[1]Viirs77-Sol'!$D$2:$D$694,'[1]Viirs77-Sol'!$E$2:$E$694)</f>
        <v>46710.317130000003</v>
      </c>
      <c r="G78" s="7" cm="1">
        <f t="array" ref="G78">_xlfn.XLOOKUP(B78&amp;E78,'[2]Viirs77-Mean'!$A$2:$A$694&amp;'[2]Viirs77-Mean'!$D$2:$D$694,'[2]Viirs77-Mean'!$E$2:$E$694)</f>
        <v>3.909194158</v>
      </c>
      <c r="H78" s="9" cm="1">
        <f t="array" ref="H78">_xlfn.XLOOKUP(D78,cleanprovinces!$B$2:$B$78,_xlfn.XLOOKUP(panel!E78,cleanprovinces!$C$1:$AC$1,cleanprovinces!$C$2:$AC$78,"no",0,1))</f>
        <v>315678</v>
      </c>
      <c r="I78" s="4">
        <f t="shared" si="4"/>
        <v>315678000000</v>
      </c>
      <c r="J78" s="3" cm="1">
        <f t="array" ref="J78">_xlfn.XLOOKUP(D78,[3]Sheet1!$B$2:$B$78,_xlfn.XLOOKUP(E78,[3]Sheet1!$C$1:$AC$1,[3]Sheet1!$C$2:$AC$78))</f>
        <v>907</v>
      </c>
      <c r="K78" s="3">
        <f t="shared" si="3"/>
        <v>907000</v>
      </c>
      <c r="L78" s="3">
        <f t="shared" si="5"/>
        <v>348046.30650496139</v>
      </c>
      <c r="M78" s="10">
        <v>100.527397108304</v>
      </c>
      <c r="N78" s="10">
        <v>14.3413793785006</v>
      </c>
    </row>
    <row r="79" spans="1:14" hidden="1" x14ac:dyDescent="0.3">
      <c r="A79" s="5">
        <v>53</v>
      </c>
      <c r="B79" s="5" t="str">
        <f>_xlfn.XLOOKUP(D79,'[1]Viirs77-Sol'!$C$2:$C$694,'[1]Viirs77-Sol'!$A$2:$A$694)</f>
        <v>TH-14</v>
      </c>
      <c r="C79" s="5" t="str">
        <f>_xlfn.XLOOKUP(D79,cleanprovinces!$B:$B,cleanprovinces!$A:$A)</f>
        <v>CE</v>
      </c>
      <c r="D79" s="5" t="s">
        <v>102</v>
      </c>
      <c r="E79" s="6">
        <v>2019</v>
      </c>
      <c r="F79" s="7" cm="1">
        <f t="array" ref="F79">_xlfn.XLOOKUP(D79&amp;E79,'[1]Viirs77-Sol'!$C$2:$C$694&amp;'[1]Viirs77-Sol'!$D$2:$D$694,'[1]Viirs77-Sol'!$E$2:$E$694)</f>
        <v>49141.636100000003</v>
      </c>
      <c r="G79" s="7" cm="1">
        <f t="array" ref="G79">_xlfn.XLOOKUP(B79&amp;E79,'[2]Viirs77-Mean'!$A$2:$A$694&amp;'[2]Viirs77-Mean'!$D$2:$D$694,'[2]Viirs77-Mean'!$E$2:$E$694)</f>
        <v>4.1126716449999998</v>
      </c>
      <c r="H79" s="9" cm="1">
        <f t="array" ref="H79">_xlfn.XLOOKUP(D79,cleanprovinces!$B$2:$B$78,_xlfn.XLOOKUP(panel!E79,cleanprovinces!$C$1:$AC$1,cleanprovinces!$C$2:$AC$78,"no",0,1))</f>
        <v>305805</v>
      </c>
      <c r="I79" s="4">
        <f t="shared" si="4"/>
        <v>305805000000</v>
      </c>
      <c r="J79" s="3" cm="1">
        <f t="array" ref="J79">_xlfn.XLOOKUP(D79,[3]Sheet1!$B$2:$B$78,_xlfn.XLOOKUP(E79,[3]Sheet1!$C$1:$AC$1,[3]Sheet1!$C$2:$AC$78))</f>
        <v>910</v>
      </c>
      <c r="K79" s="3">
        <f t="shared" si="3"/>
        <v>910000</v>
      </c>
      <c r="L79" s="3">
        <f t="shared" si="5"/>
        <v>336049.45054945053</v>
      </c>
      <c r="M79" s="10">
        <v>100.527397108304</v>
      </c>
      <c r="N79" s="10">
        <v>14.3413793785006</v>
      </c>
    </row>
    <row r="80" spans="1:14" hidden="1" x14ac:dyDescent="0.3">
      <c r="A80" s="5">
        <v>53</v>
      </c>
      <c r="B80" s="5" t="str">
        <f>_xlfn.XLOOKUP(D80,'[1]Viirs77-Sol'!$C$2:$C$694,'[1]Viirs77-Sol'!$A$2:$A$694)</f>
        <v>TH-14</v>
      </c>
      <c r="C80" s="5" t="str">
        <f>_xlfn.XLOOKUP(D80,cleanprovinces!$B:$B,cleanprovinces!$A:$A)</f>
        <v>CE</v>
      </c>
      <c r="D80" s="5" t="s">
        <v>102</v>
      </c>
      <c r="E80" s="6">
        <v>2020</v>
      </c>
      <c r="F80" s="7" cm="1">
        <f t="array" ref="F80">_xlfn.XLOOKUP(D80&amp;E80,'[1]Viirs77-Sol'!$C$2:$C$694&amp;'[1]Viirs77-Sol'!$D$2:$D$694,'[1]Viirs77-Sol'!$E$2:$E$694)</f>
        <v>50004.882180000001</v>
      </c>
      <c r="G80" s="7" cm="1">
        <f t="array" ref="G80">_xlfn.XLOOKUP(B80&amp;E80,'[2]Viirs77-Mean'!$A$2:$A$694&amp;'[2]Viirs77-Mean'!$D$2:$D$694,'[2]Viirs77-Mean'!$E$2:$E$694)</f>
        <v>4.1849168509999997</v>
      </c>
      <c r="H80" s="9" cm="1">
        <f t="array" ref="H80">_xlfn.XLOOKUP(D80,cleanprovinces!$B$2:$B$78,_xlfn.XLOOKUP(panel!E80,cleanprovinces!$C$1:$AC$1,cleanprovinces!$C$2:$AC$78,"no",0,1))</f>
        <v>298448</v>
      </c>
      <c r="I80" s="4">
        <f t="shared" si="4"/>
        <v>298448000000</v>
      </c>
      <c r="J80" s="3" cm="1">
        <f t="array" ref="J80">_xlfn.XLOOKUP(D80,[3]Sheet1!$B$2:$B$78,_xlfn.XLOOKUP(E80,[3]Sheet1!$C$1:$AC$1,[3]Sheet1!$C$2:$AC$78))</f>
        <v>912</v>
      </c>
      <c r="K80" s="3">
        <f t="shared" si="3"/>
        <v>912000</v>
      </c>
      <c r="L80" s="3">
        <f t="shared" si="5"/>
        <v>327245.6140350877</v>
      </c>
      <c r="M80" s="10">
        <v>100.527397108304</v>
      </c>
      <c r="N80" s="10">
        <v>14.3413793785006</v>
      </c>
    </row>
    <row r="81" spans="1:14" hidden="1" x14ac:dyDescent="0.3">
      <c r="A81" s="5">
        <v>53</v>
      </c>
      <c r="B81" s="5" t="str">
        <f>_xlfn.XLOOKUP(D81,'[1]Viirs77-Sol'!$C$2:$C$694,'[1]Viirs77-Sol'!$A$2:$A$694)</f>
        <v>TH-14</v>
      </c>
      <c r="C81" s="5" t="str">
        <f>_xlfn.XLOOKUP(D81,cleanprovinces!$B:$B,cleanprovinces!$A:$A)</f>
        <v>CE</v>
      </c>
      <c r="D81" s="5" t="s">
        <v>102</v>
      </c>
      <c r="E81" s="6">
        <v>2021</v>
      </c>
      <c r="F81" s="7" cm="1">
        <f t="array" ref="F81">_xlfn.XLOOKUP(D81&amp;E81,'[1]Viirs77-Sol'!$C$2:$C$694&amp;'[1]Viirs77-Sol'!$D$2:$D$694,'[1]Viirs77-Sol'!$E$2:$E$694)</f>
        <v>54368.122439999999</v>
      </c>
      <c r="G81" s="7" cm="1">
        <f t="array" ref="G81">_xlfn.XLOOKUP(B81&amp;E81,'[2]Viirs77-Mean'!$A$2:$A$694&amp;'[2]Viirs77-Mean'!$D$2:$D$694,'[2]Viirs77-Mean'!$E$2:$E$694)</f>
        <v>4.5500771499999999</v>
      </c>
      <c r="H81" s="9" cm="1">
        <f t="array" ref="H81">_xlfn.XLOOKUP(D81,cleanprovinces!$B$2:$B$78,_xlfn.XLOOKUP(panel!E81,cleanprovinces!$C$1:$AC$1,cleanprovinces!$C$2:$AC$78,"no",0,1))</f>
        <v>321586</v>
      </c>
      <c r="I81" s="4">
        <f t="shared" si="4"/>
        <v>321586000000</v>
      </c>
      <c r="J81" s="3" cm="1">
        <f t="array" ref="J81">_xlfn.XLOOKUP(D81,[3]Sheet1!$B$2:$B$78,_xlfn.XLOOKUP(E81,[3]Sheet1!$C$1:$AC$1,[3]Sheet1!$C$2:$AC$78))</f>
        <v>915</v>
      </c>
      <c r="K81" s="3">
        <f t="shared" si="3"/>
        <v>915000</v>
      </c>
      <c r="L81" s="3">
        <f t="shared" si="5"/>
        <v>351460.10928961751</v>
      </c>
      <c r="M81" s="10">
        <v>100.527397108304</v>
      </c>
      <c r="N81" s="10">
        <v>14.3413793785006</v>
      </c>
    </row>
    <row r="82" spans="1:14" hidden="1" x14ac:dyDescent="0.3">
      <c r="A82" s="5">
        <v>17</v>
      </c>
      <c r="B82" s="5" t="str">
        <f>_xlfn.XLOOKUP(D82,'[1]Viirs77-Sol'!$C$2:$C$694,'[1]Viirs77-Sol'!$A$2:$A$694)</f>
        <v>TH-19</v>
      </c>
      <c r="C82" s="5" t="str">
        <f>_xlfn.XLOOKUP(D82,cleanprovinces!$B:$B,cleanprovinces!$A:$A)</f>
        <v>CE</v>
      </c>
      <c r="D82" s="5" t="s">
        <v>97</v>
      </c>
      <c r="E82" s="6">
        <v>2014</v>
      </c>
      <c r="F82" s="7" cm="1">
        <f t="array" ref="F82">_xlfn.XLOOKUP(D82&amp;E82,'[1]Viirs77-Sol'!$C$2:$C$694&amp;'[1]Viirs77-Sol'!$D$2:$D$694,'[1]Viirs77-Sol'!$E$2:$E$694)</f>
        <v>33759.617200000001</v>
      </c>
      <c r="G82" s="7" cm="1">
        <f t="array" ref="G82">_xlfn.XLOOKUP(B82&amp;E82,'[2]Viirs77-Mean'!$A$2:$A$694&amp;'[2]Viirs77-Mean'!$D$2:$D$694,'[2]Viirs77-Mean'!$E$2:$E$694)</f>
        <v>2.0045066020000002</v>
      </c>
      <c r="H82" s="9" cm="1">
        <f t="array" ref="H82">_xlfn.XLOOKUP(D82,cleanprovinces!$B$2:$B$78,_xlfn.XLOOKUP(panel!E82,cleanprovinces!$C$1:$AC$1,cleanprovinces!$C$2:$AC$78,"no",0,1))</f>
        <v>149657</v>
      </c>
      <c r="I82" s="4">
        <f t="shared" si="4"/>
        <v>149657000000</v>
      </c>
      <c r="J82" s="3" cm="1">
        <f t="array" ref="J82">_xlfn.XLOOKUP(D82,[3]Sheet1!$B$2:$B$78,_xlfn.XLOOKUP(E82,[3]Sheet1!$C$1:$AC$1,[3]Sheet1!$C$2:$AC$78))</f>
        <v>740</v>
      </c>
      <c r="K82" s="3">
        <f t="shared" si="3"/>
        <v>740000</v>
      </c>
      <c r="L82" s="3">
        <f t="shared" si="5"/>
        <v>202239.1891891892</v>
      </c>
      <c r="M82" s="10">
        <v>101.002897797782</v>
      </c>
      <c r="N82" s="10">
        <v>14.6189848745587</v>
      </c>
    </row>
    <row r="83" spans="1:14" hidden="1" x14ac:dyDescent="0.3">
      <c r="A83" s="5">
        <v>17</v>
      </c>
      <c r="B83" s="5" t="str">
        <f>_xlfn.XLOOKUP(D83,'[1]Viirs77-Sol'!$C$2:$C$694,'[1]Viirs77-Sol'!$A$2:$A$694)</f>
        <v>TH-19</v>
      </c>
      <c r="C83" s="5" t="str">
        <f>_xlfn.XLOOKUP(D83,cleanprovinces!$B:$B,cleanprovinces!$A:$A)</f>
        <v>CE</v>
      </c>
      <c r="D83" s="5" t="s">
        <v>97</v>
      </c>
      <c r="E83" s="6">
        <v>2015</v>
      </c>
      <c r="F83" s="7" cm="1">
        <f t="array" ref="F83">_xlfn.XLOOKUP(D83&amp;E83,'[1]Viirs77-Sol'!$C$2:$C$694&amp;'[1]Viirs77-Sol'!$D$2:$D$694,'[1]Viirs77-Sol'!$E$2:$E$694)</f>
        <v>35576.516860000003</v>
      </c>
      <c r="G83" s="7" cm="1">
        <f t="array" ref="G83">_xlfn.XLOOKUP(B83&amp;E83,'[2]Viirs77-Mean'!$A$2:$A$694&amp;'[2]Viirs77-Mean'!$D$2:$D$694,'[2]Viirs77-Mean'!$E$2:$E$694)</f>
        <v>2.1123865980000001</v>
      </c>
      <c r="H83" s="9" cm="1">
        <f t="array" ref="H83">_xlfn.XLOOKUP(D83,cleanprovinces!$B$2:$B$78,_xlfn.XLOOKUP(panel!E83,cleanprovinces!$C$1:$AC$1,cleanprovinces!$C$2:$AC$78,"no",0,1))</f>
        <v>151436</v>
      </c>
      <c r="I83" s="4">
        <f t="shared" si="4"/>
        <v>151436000000</v>
      </c>
      <c r="J83" s="3" cm="1">
        <f t="array" ref="J83">_xlfn.XLOOKUP(D83,[3]Sheet1!$B$2:$B$78,_xlfn.XLOOKUP(E83,[3]Sheet1!$C$1:$AC$1,[3]Sheet1!$C$2:$AC$78))</f>
        <v>745</v>
      </c>
      <c r="K83" s="3">
        <f t="shared" si="3"/>
        <v>745000</v>
      </c>
      <c r="L83" s="3">
        <f t="shared" si="5"/>
        <v>203269.79865771811</v>
      </c>
      <c r="M83" s="10">
        <v>101.002897797782</v>
      </c>
      <c r="N83" s="10">
        <v>14.6189848745587</v>
      </c>
    </row>
    <row r="84" spans="1:14" hidden="1" x14ac:dyDescent="0.3">
      <c r="A84" s="5">
        <v>17</v>
      </c>
      <c r="B84" s="5" t="str">
        <f>_xlfn.XLOOKUP(D84,'[1]Viirs77-Sol'!$C$2:$C$694,'[1]Viirs77-Sol'!$A$2:$A$694)</f>
        <v>TH-19</v>
      </c>
      <c r="C84" s="5" t="str">
        <f>_xlfn.XLOOKUP(D84,cleanprovinces!$B:$B,cleanprovinces!$A:$A)</f>
        <v>CE</v>
      </c>
      <c r="D84" s="5" t="s">
        <v>97</v>
      </c>
      <c r="E84" s="6">
        <v>2016</v>
      </c>
      <c r="F84" s="7" cm="1">
        <f t="array" ref="F84">_xlfn.XLOOKUP(D84&amp;E84,'[1]Viirs77-Sol'!$C$2:$C$694&amp;'[1]Viirs77-Sol'!$D$2:$D$694,'[1]Viirs77-Sol'!$E$2:$E$694)</f>
        <v>36819.374400000001</v>
      </c>
      <c r="G84" s="7" cm="1">
        <f t="array" ref="G84">_xlfn.XLOOKUP(B84&amp;E84,'[2]Viirs77-Mean'!$A$2:$A$694&amp;'[2]Viirs77-Mean'!$D$2:$D$694,'[2]Viirs77-Mean'!$E$2:$E$694)</f>
        <v>2.1861823440000001</v>
      </c>
      <c r="H84" s="9" cm="1">
        <f t="array" ref="H84">_xlfn.XLOOKUP(D84,cleanprovinces!$B$2:$B$78,_xlfn.XLOOKUP(panel!E84,cleanprovinces!$C$1:$AC$1,cleanprovinces!$C$2:$AC$78,"no",0,1))</f>
        <v>156814</v>
      </c>
      <c r="I84" s="4">
        <f t="shared" si="4"/>
        <v>156814000000</v>
      </c>
      <c r="J84" s="3" cm="1">
        <f t="array" ref="J84">_xlfn.XLOOKUP(D84,[3]Sheet1!$B$2:$B$78,_xlfn.XLOOKUP(E84,[3]Sheet1!$C$1:$AC$1,[3]Sheet1!$C$2:$AC$78))</f>
        <v>750</v>
      </c>
      <c r="K84" s="3">
        <f t="shared" si="3"/>
        <v>750000</v>
      </c>
      <c r="L84" s="3">
        <f t="shared" si="5"/>
        <v>209085.33333333334</v>
      </c>
      <c r="M84" s="10">
        <v>101.002897797782</v>
      </c>
      <c r="N84" s="10">
        <v>14.6189848745587</v>
      </c>
    </row>
    <row r="85" spans="1:14" hidden="1" x14ac:dyDescent="0.3">
      <c r="A85" s="5">
        <v>17</v>
      </c>
      <c r="B85" s="5" t="str">
        <f>_xlfn.XLOOKUP(D85,'[1]Viirs77-Sol'!$C$2:$C$694,'[1]Viirs77-Sol'!$A$2:$A$694)</f>
        <v>TH-19</v>
      </c>
      <c r="C85" s="5" t="str">
        <f>_xlfn.XLOOKUP(D85,cleanprovinces!$B:$B,cleanprovinces!$A:$A)</f>
        <v>CE</v>
      </c>
      <c r="D85" s="5" t="s">
        <v>97</v>
      </c>
      <c r="E85" s="6">
        <v>2017</v>
      </c>
      <c r="F85" s="7" cm="1">
        <f t="array" ref="F85">_xlfn.XLOOKUP(D85&amp;E85,'[1]Viirs77-Sol'!$C$2:$C$694&amp;'[1]Viirs77-Sol'!$D$2:$D$694,'[1]Viirs77-Sol'!$E$2:$E$694)</f>
        <v>39500.167889999997</v>
      </c>
      <c r="G85" s="7" cm="1">
        <f t="array" ref="G85">_xlfn.XLOOKUP(B85&amp;E85,'[2]Viirs77-Mean'!$A$2:$A$694&amp;'[2]Viirs77-Mean'!$D$2:$D$694,'[2]Viirs77-Mean'!$E$2:$E$694)</f>
        <v>2.3453567870000001</v>
      </c>
      <c r="H85" s="9" cm="1">
        <f t="array" ref="H85">_xlfn.XLOOKUP(D85,cleanprovinces!$B$2:$B$78,_xlfn.XLOOKUP(panel!E85,cleanprovinces!$C$1:$AC$1,cleanprovinces!$C$2:$AC$78,"no",0,1))</f>
        <v>155160</v>
      </c>
      <c r="I85" s="4">
        <f t="shared" si="4"/>
        <v>155160000000</v>
      </c>
      <c r="J85" s="3" cm="1">
        <f t="array" ref="J85">_xlfn.XLOOKUP(D85,[3]Sheet1!$B$2:$B$78,_xlfn.XLOOKUP(E85,[3]Sheet1!$C$1:$AC$1,[3]Sheet1!$C$2:$AC$78))</f>
        <v>755</v>
      </c>
      <c r="K85" s="3">
        <f t="shared" si="3"/>
        <v>755000</v>
      </c>
      <c r="L85" s="3">
        <f t="shared" si="5"/>
        <v>205509.93377483444</v>
      </c>
      <c r="M85" s="10">
        <v>101.002897797782</v>
      </c>
      <c r="N85" s="10">
        <v>14.6189848745587</v>
      </c>
    </row>
    <row r="86" spans="1:14" hidden="1" x14ac:dyDescent="0.3">
      <c r="A86" s="5">
        <v>17</v>
      </c>
      <c r="B86" s="5" t="str">
        <f>_xlfn.XLOOKUP(D86,'[1]Viirs77-Sol'!$C$2:$C$694,'[1]Viirs77-Sol'!$A$2:$A$694)</f>
        <v>TH-19</v>
      </c>
      <c r="C86" s="5" t="str">
        <f>_xlfn.XLOOKUP(D86,cleanprovinces!$B:$B,cleanprovinces!$A:$A)</f>
        <v>CE</v>
      </c>
      <c r="D86" s="5" t="s">
        <v>97</v>
      </c>
      <c r="E86" s="6">
        <v>2018</v>
      </c>
      <c r="F86" s="7" cm="1">
        <f t="array" ref="F86">_xlfn.XLOOKUP(D86&amp;E86,'[1]Viirs77-Sol'!$C$2:$C$694&amp;'[1]Viirs77-Sol'!$D$2:$D$694,'[1]Viirs77-Sol'!$E$2:$E$694)</f>
        <v>38076.482609999999</v>
      </c>
      <c r="G86" s="7" cm="1">
        <f t="array" ref="G86">_xlfn.XLOOKUP(B86&amp;E86,'[2]Viirs77-Mean'!$A$2:$A$694&amp;'[2]Viirs77-Mean'!$D$2:$D$694,'[2]Viirs77-Mean'!$E$2:$E$694)</f>
        <v>2.2608242359999999</v>
      </c>
      <c r="H86" s="9" cm="1">
        <f t="array" ref="H86">_xlfn.XLOOKUP(D86,cleanprovinces!$B$2:$B$78,_xlfn.XLOOKUP(panel!E86,cleanprovinces!$C$1:$AC$1,cleanprovinces!$C$2:$AC$78,"no",0,1))</f>
        <v>159958</v>
      </c>
      <c r="I86" s="4">
        <f t="shared" si="4"/>
        <v>159958000000</v>
      </c>
      <c r="J86" s="3" cm="1">
        <f t="array" ref="J86">_xlfn.XLOOKUP(D86,[3]Sheet1!$B$2:$B$78,_xlfn.XLOOKUP(E86,[3]Sheet1!$C$1:$AC$1,[3]Sheet1!$C$2:$AC$78))</f>
        <v>758</v>
      </c>
      <c r="K86" s="3">
        <f t="shared" si="3"/>
        <v>758000</v>
      </c>
      <c r="L86" s="3">
        <f t="shared" si="5"/>
        <v>211026.38522427442</v>
      </c>
      <c r="M86" s="10">
        <v>101.002897797782</v>
      </c>
      <c r="N86" s="10">
        <v>14.6189848745587</v>
      </c>
    </row>
    <row r="87" spans="1:14" hidden="1" x14ac:dyDescent="0.3">
      <c r="A87" s="5">
        <v>17</v>
      </c>
      <c r="B87" s="5" t="str">
        <f>_xlfn.XLOOKUP(D87,'[1]Viirs77-Sol'!$C$2:$C$694,'[1]Viirs77-Sol'!$A$2:$A$694)</f>
        <v>TH-19</v>
      </c>
      <c r="C87" s="5" t="str">
        <f>_xlfn.XLOOKUP(D87,cleanprovinces!$B:$B,cleanprovinces!$A:$A)</f>
        <v>CE</v>
      </c>
      <c r="D87" s="5" t="s">
        <v>97</v>
      </c>
      <c r="E87" s="6">
        <v>2019</v>
      </c>
      <c r="F87" s="7" cm="1">
        <f t="array" ref="F87">_xlfn.XLOOKUP(D87&amp;E87,'[1]Viirs77-Sol'!$C$2:$C$694&amp;'[1]Viirs77-Sol'!$D$2:$D$694,'[1]Viirs77-Sol'!$E$2:$E$694)</f>
        <v>42186.131820000002</v>
      </c>
      <c r="G87" s="7" cm="1">
        <f t="array" ref="G87">_xlfn.XLOOKUP(B87&amp;E87,'[2]Viirs77-Mean'!$A$2:$A$694&amp;'[2]Viirs77-Mean'!$D$2:$D$694,'[2]Viirs77-Mean'!$E$2:$E$694)</f>
        <v>2.5048382280000001</v>
      </c>
      <c r="H87" s="9" cm="1">
        <f t="array" ref="H87">_xlfn.XLOOKUP(D87,cleanprovinces!$B$2:$B$78,_xlfn.XLOOKUP(panel!E87,cleanprovinces!$C$1:$AC$1,cleanprovinces!$C$2:$AC$78,"no",0,1))</f>
        <v>159799</v>
      </c>
      <c r="I87" s="4">
        <f t="shared" si="4"/>
        <v>159799000000</v>
      </c>
      <c r="J87" s="3" cm="1">
        <f t="array" ref="J87">_xlfn.XLOOKUP(D87,[3]Sheet1!$B$2:$B$78,_xlfn.XLOOKUP(E87,[3]Sheet1!$C$1:$AC$1,[3]Sheet1!$C$2:$AC$78))</f>
        <v>760</v>
      </c>
      <c r="K87" s="3">
        <f t="shared" si="3"/>
        <v>760000</v>
      </c>
      <c r="L87" s="3">
        <f t="shared" si="5"/>
        <v>210261.84210526315</v>
      </c>
      <c r="M87" s="10">
        <v>101.002897797782</v>
      </c>
      <c r="N87" s="10">
        <v>14.6189848745587</v>
      </c>
    </row>
    <row r="88" spans="1:14" hidden="1" x14ac:dyDescent="0.3">
      <c r="A88" s="5">
        <v>17</v>
      </c>
      <c r="B88" s="5" t="str">
        <f>_xlfn.XLOOKUP(D88,'[1]Viirs77-Sol'!$C$2:$C$694,'[1]Viirs77-Sol'!$A$2:$A$694)</f>
        <v>TH-19</v>
      </c>
      <c r="C88" s="5" t="str">
        <f>_xlfn.XLOOKUP(D88,cleanprovinces!$B:$B,cleanprovinces!$A:$A)</f>
        <v>CE</v>
      </c>
      <c r="D88" s="5" t="s">
        <v>97</v>
      </c>
      <c r="E88" s="6">
        <v>2020</v>
      </c>
      <c r="F88" s="7" cm="1">
        <f t="array" ref="F88">_xlfn.XLOOKUP(D88&amp;E88,'[1]Viirs77-Sol'!$C$2:$C$694&amp;'[1]Viirs77-Sol'!$D$2:$D$694,'[1]Viirs77-Sol'!$E$2:$E$694)</f>
        <v>43869.95145</v>
      </c>
      <c r="G88" s="7" cm="1">
        <f t="array" ref="G88">_xlfn.XLOOKUP(B88&amp;E88,'[2]Viirs77-Mean'!$A$2:$A$694&amp;'[2]Viirs77-Mean'!$D$2:$D$694,'[2]Viirs77-Mean'!$E$2:$E$694)</f>
        <v>2.6048164819999999</v>
      </c>
      <c r="H88" s="9" cm="1">
        <f t="array" ref="H88">_xlfn.XLOOKUP(D88,cleanprovinces!$B$2:$B$78,_xlfn.XLOOKUP(panel!E88,cleanprovinces!$C$1:$AC$1,cleanprovinces!$C$2:$AC$78,"no",0,1))</f>
        <v>151412</v>
      </c>
      <c r="I88" s="4">
        <f t="shared" si="4"/>
        <v>151412000000</v>
      </c>
      <c r="J88" s="3" cm="1">
        <f t="array" ref="J88">_xlfn.XLOOKUP(D88,[3]Sheet1!$B$2:$B$78,_xlfn.XLOOKUP(E88,[3]Sheet1!$C$1:$AC$1,[3]Sheet1!$C$2:$AC$78))</f>
        <v>762</v>
      </c>
      <c r="K88" s="3">
        <f t="shared" si="3"/>
        <v>762000</v>
      </c>
      <c r="L88" s="3">
        <f t="shared" si="5"/>
        <v>198703.41207349082</v>
      </c>
      <c r="M88" s="10">
        <v>101.002897797782</v>
      </c>
      <c r="N88" s="10">
        <v>14.6189848745587</v>
      </c>
    </row>
    <row r="89" spans="1:14" hidden="1" x14ac:dyDescent="0.3">
      <c r="A89" s="5">
        <v>17</v>
      </c>
      <c r="B89" s="5" t="str">
        <f>_xlfn.XLOOKUP(D89,'[1]Viirs77-Sol'!$C$2:$C$694,'[1]Viirs77-Sol'!$A$2:$A$694)</f>
        <v>TH-19</v>
      </c>
      <c r="C89" s="5" t="str">
        <f>_xlfn.XLOOKUP(D89,cleanprovinces!$B:$B,cleanprovinces!$A:$A)</f>
        <v>CE</v>
      </c>
      <c r="D89" s="5" t="s">
        <v>97</v>
      </c>
      <c r="E89" s="6">
        <v>2021</v>
      </c>
      <c r="F89" s="7" cm="1">
        <f t="array" ref="F89">_xlfn.XLOOKUP(D89&amp;E89,'[1]Viirs77-Sol'!$C$2:$C$694&amp;'[1]Viirs77-Sol'!$D$2:$D$694,'[1]Viirs77-Sol'!$E$2:$E$694)</f>
        <v>46723.65047</v>
      </c>
      <c r="G89" s="7" cm="1">
        <f t="array" ref="G89">_xlfn.XLOOKUP(B89&amp;E89,'[2]Viirs77-Mean'!$A$2:$A$694&amp;'[2]Viirs77-Mean'!$D$2:$D$694,'[2]Viirs77-Mean'!$E$2:$E$694)</f>
        <v>2.7742573400000001</v>
      </c>
      <c r="H89" s="9" cm="1">
        <f t="array" ref="H89">_xlfn.XLOOKUP(D89,cleanprovinces!$B$2:$B$78,_xlfn.XLOOKUP(panel!E89,cleanprovinces!$C$1:$AC$1,cleanprovinces!$C$2:$AC$78,"no",0,1))</f>
        <v>153891</v>
      </c>
      <c r="I89" s="4">
        <f t="shared" si="4"/>
        <v>153891000000</v>
      </c>
      <c r="J89" s="3" cm="1">
        <f t="array" ref="J89">_xlfn.XLOOKUP(D89,[3]Sheet1!$B$2:$B$78,_xlfn.XLOOKUP(E89,[3]Sheet1!$C$1:$AC$1,[3]Sheet1!$C$2:$AC$78))</f>
        <v>763</v>
      </c>
      <c r="K89" s="3">
        <f t="shared" si="3"/>
        <v>763000</v>
      </c>
      <c r="L89" s="3">
        <f t="shared" si="5"/>
        <v>201692.00524246396</v>
      </c>
      <c r="M89" s="10">
        <v>101.002897797782</v>
      </c>
      <c r="N89" s="10">
        <v>14.6189848745587</v>
      </c>
    </row>
    <row r="90" spans="1:14" hidden="1" x14ac:dyDescent="0.3">
      <c r="A90" s="5">
        <v>49</v>
      </c>
      <c r="B90" s="5" t="str">
        <f>_xlfn.XLOOKUP(D90,'[1]Viirs77-Sol'!$C$2:$C$694,'[1]Viirs77-Sol'!$A$2:$A$694)</f>
        <v>TH-17</v>
      </c>
      <c r="C90" s="5" t="str">
        <f>_xlfn.XLOOKUP(D90,cleanprovinces!$B:$B,cleanprovinces!$A:$A)</f>
        <v>CE</v>
      </c>
      <c r="D90" s="5" t="s">
        <v>98</v>
      </c>
      <c r="E90" s="6">
        <v>2014</v>
      </c>
      <c r="F90" s="7" cm="1">
        <f t="array" ref="F90">_xlfn.XLOOKUP(D90&amp;E90,'[1]Viirs77-Sol'!$C$2:$C$694&amp;'[1]Viirs77-Sol'!$D$2:$D$694,'[1]Viirs77-Sol'!$E$2:$E$694)</f>
        <v>5690.6628849999997</v>
      </c>
      <c r="G90" s="7" cm="1">
        <f t="array" ref="G90">_xlfn.XLOOKUP(B90&amp;E90,'[2]Viirs77-Mean'!$A$2:$A$694&amp;'[2]Viirs77-Mean'!$D$2:$D$694,'[2]Viirs77-Mean'!$E$2:$E$694)</f>
        <v>1.3924535739999999</v>
      </c>
      <c r="H90" s="9" cm="1">
        <f t="array" ref="H90">_xlfn.XLOOKUP(D90,cleanprovinces!$B$2:$B$78,_xlfn.XLOOKUP(panel!E90,cleanprovinces!$C$1:$AC$1,cleanprovinces!$C$2:$AC$78,"no",0,1))</f>
        <v>16391</v>
      </c>
      <c r="I90" s="4">
        <f t="shared" si="4"/>
        <v>16391000000</v>
      </c>
      <c r="J90" s="3" cm="1">
        <f t="array" ref="J90">_xlfn.XLOOKUP(D90,[3]Sheet1!$B$2:$B$78,_xlfn.XLOOKUP(E90,[3]Sheet1!$C$1:$AC$1,[3]Sheet1!$C$2:$AC$78))</f>
        <v>197</v>
      </c>
      <c r="K90" s="3">
        <f t="shared" si="3"/>
        <v>197000</v>
      </c>
      <c r="L90" s="3">
        <f t="shared" si="5"/>
        <v>83203.045685279183</v>
      </c>
      <c r="M90" s="10">
        <v>100.352936977166</v>
      </c>
      <c r="N90" s="10">
        <v>14.921262949940401</v>
      </c>
    </row>
    <row r="91" spans="1:14" hidden="1" x14ac:dyDescent="0.3">
      <c r="A91" s="5">
        <v>49</v>
      </c>
      <c r="B91" s="5" t="str">
        <f>_xlfn.XLOOKUP(D91,'[1]Viirs77-Sol'!$C$2:$C$694,'[1]Viirs77-Sol'!$A$2:$A$694)</f>
        <v>TH-17</v>
      </c>
      <c r="C91" s="5" t="str">
        <f>_xlfn.XLOOKUP(D91,cleanprovinces!$B:$B,cleanprovinces!$A:$A)</f>
        <v>CE</v>
      </c>
      <c r="D91" s="5" t="s">
        <v>98</v>
      </c>
      <c r="E91" s="6">
        <v>2015</v>
      </c>
      <c r="F91" s="7" cm="1">
        <f t="array" ref="F91">_xlfn.XLOOKUP(D91&amp;E91,'[1]Viirs77-Sol'!$C$2:$C$694&amp;'[1]Viirs77-Sol'!$D$2:$D$694,'[1]Viirs77-Sol'!$E$2:$E$694)</f>
        <v>6606.7656720000004</v>
      </c>
      <c r="G91" s="7" cm="1">
        <f t="array" ref="G91">_xlfn.XLOOKUP(B91&amp;E91,'[2]Viirs77-Mean'!$A$2:$A$694&amp;'[2]Viirs77-Mean'!$D$2:$D$694,'[2]Viirs77-Mean'!$E$2:$E$694)</f>
        <v>1.6166156140000001</v>
      </c>
      <c r="H91" s="9" cm="1">
        <f t="array" ref="H91">_xlfn.XLOOKUP(D91,cleanprovinces!$B$2:$B$78,_xlfn.XLOOKUP(panel!E91,cleanprovinces!$C$1:$AC$1,cleanprovinces!$C$2:$AC$78,"no",0,1))</f>
        <v>15506</v>
      </c>
      <c r="I91" s="4">
        <f t="shared" si="4"/>
        <v>15506000000</v>
      </c>
      <c r="J91" s="3" cm="1">
        <f t="array" ref="J91">_xlfn.XLOOKUP(D91,[3]Sheet1!$B$2:$B$78,_xlfn.XLOOKUP(E91,[3]Sheet1!$C$1:$AC$1,[3]Sheet1!$C$2:$AC$78))</f>
        <v>196</v>
      </c>
      <c r="K91" s="3">
        <f t="shared" si="3"/>
        <v>196000</v>
      </c>
      <c r="L91" s="3">
        <f t="shared" si="5"/>
        <v>79112.244897959186</v>
      </c>
      <c r="M91" s="10">
        <v>100.352936977166</v>
      </c>
      <c r="N91" s="10">
        <v>14.921262949940401</v>
      </c>
    </row>
    <row r="92" spans="1:14" hidden="1" x14ac:dyDescent="0.3">
      <c r="A92" s="5">
        <v>49</v>
      </c>
      <c r="B92" s="5" t="str">
        <f>_xlfn.XLOOKUP(D92,'[1]Viirs77-Sol'!$C$2:$C$694,'[1]Viirs77-Sol'!$A$2:$A$694)</f>
        <v>TH-17</v>
      </c>
      <c r="C92" s="5" t="str">
        <f>_xlfn.XLOOKUP(D92,cleanprovinces!$B:$B,cleanprovinces!$A:$A)</f>
        <v>CE</v>
      </c>
      <c r="D92" s="5" t="s">
        <v>98</v>
      </c>
      <c r="E92" s="6">
        <v>2016</v>
      </c>
      <c r="F92" s="7" cm="1">
        <f t="array" ref="F92">_xlfn.XLOOKUP(D92&amp;E92,'[1]Viirs77-Sol'!$C$2:$C$694&amp;'[1]Viirs77-Sol'!$D$2:$D$694,'[1]Viirs77-Sol'!$E$2:$E$694)</f>
        <v>7252.0985870000004</v>
      </c>
      <c r="G92" s="7" cm="1">
        <f t="array" ref="G92">_xlfn.XLOOKUP(B92&amp;E92,'[2]Viirs77-Mean'!$A$2:$A$694&amp;'[2]Viirs77-Mean'!$D$2:$D$694,'[2]Viirs77-Mean'!$E$2:$E$694)</f>
        <v>1.774522723</v>
      </c>
      <c r="H92" s="9" cm="1">
        <f t="array" ref="H92">_xlfn.XLOOKUP(D92,cleanprovinces!$B$2:$B$78,_xlfn.XLOOKUP(panel!E92,cleanprovinces!$C$1:$AC$1,cleanprovinces!$C$2:$AC$78,"no",0,1))</f>
        <v>15547</v>
      </c>
      <c r="I92" s="4">
        <f t="shared" si="4"/>
        <v>15547000000</v>
      </c>
      <c r="J92" s="3" cm="1">
        <f t="array" ref="J92">_xlfn.XLOOKUP(D92,[3]Sheet1!$B$2:$B$78,_xlfn.XLOOKUP(E92,[3]Sheet1!$C$1:$AC$1,[3]Sheet1!$C$2:$AC$78))</f>
        <v>194</v>
      </c>
      <c r="K92" s="3">
        <f t="shared" si="3"/>
        <v>194000</v>
      </c>
      <c r="L92" s="3">
        <f t="shared" si="5"/>
        <v>80139.175257731957</v>
      </c>
      <c r="M92" s="10">
        <v>100.352936977166</v>
      </c>
      <c r="N92" s="10">
        <v>14.921262949940401</v>
      </c>
    </row>
    <row r="93" spans="1:14" hidden="1" x14ac:dyDescent="0.3">
      <c r="A93" s="5">
        <v>49</v>
      </c>
      <c r="B93" s="5" t="str">
        <f>_xlfn.XLOOKUP(D93,'[1]Viirs77-Sol'!$C$2:$C$694,'[1]Viirs77-Sol'!$A$2:$A$694)</f>
        <v>TH-17</v>
      </c>
      <c r="C93" s="5" t="str">
        <f>_xlfn.XLOOKUP(D93,cleanprovinces!$B:$B,cleanprovinces!$A:$A)</f>
        <v>CE</v>
      </c>
      <c r="D93" s="5" t="s">
        <v>98</v>
      </c>
      <c r="E93" s="6">
        <v>2017</v>
      </c>
      <c r="F93" s="7" cm="1">
        <f t="array" ref="F93">_xlfn.XLOOKUP(D93&amp;E93,'[1]Viirs77-Sol'!$C$2:$C$694&amp;'[1]Viirs77-Sol'!$D$2:$D$694,'[1]Viirs77-Sol'!$E$2:$E$694)</f>
        <v>8250.7287059999999</v>
      </c>
      <c r="G93" s="7" cm="1">
        <f t="array" ref="G93">_xlfn.XLOOKUP(B93&amp;E93,'[2]Viirs77-Mean'!$A$2:$A$694&amp;'[2]Viirs77-Mean'!$D$2:$D$694,'[2]Viirs77-Mean'!$E$2:$E$694)</f>
        <v>2.018878452</v>
      </c>
      <c r="H93" s="9" cm="1">
        <f t="array" ref="H93">_xlfn.XLOOKUP(D93,cleanprovinces!$B$2:$B$78,_xlfn.XLOOKUP(panel!E93,cleanprovinces!$C$1:$AC$1,cleanprovinces!$C$2:$AC$78,"no",0,1))</f>
        <v>16219</v>
      </c>
      <c r="I93" s="4">
        <f t="shared" si="4"/>
        <v>16219000000</v>
      </c>
      <c r="J93" s="3" cm="1">
        <f t="array" ref="J93">_xlfn.XLOOKUP(D93,[3]Sheet1!$B$2:$B$78,_xlfn.XLOOKUP(E93,[3]Sheet1!$C$1:$AC$1,[3]Sheet1!$C$2:$AC$78))</f>
        <v>192</v>
      </c>
      <c r="K93" s="3">
        <f t="shared" si="3"/>
        <v>192000</v>
      </c>
      <c r="L93" s="3">
        <f t="shared" si="5"/>
        <v>84473.958333333328</v>
      </c>
      <c r="M93" s="10">
        <v>100.352936977166</v>
      </c>
      <c r="N93" s="10">
        <v>14.921262949940401</v>
      </c>
    </row>
    <row r="94" spans="1:14" hidden="1" x14ac:dyDescent="0.3">
      <c r="A94" s="5">
        <v>49</v>
      </c>
      <c r="B94" s="5" t="str">
        <f>_xlfn.XLOOKUP(D94,'[1]Viirs77-Sol'!$C$2:$C$694,'[1]Viirs77-Sol'!$A$2:$A$694)</f>
        <v>TH-17</v>
      </c>
      <c r="C94" s="5" t="str">
        <f>_xlfn.XLOOKUP(D94,cleanprovinces!$B:$B,cleanprovinces!$A:$A)</f>
        <v>CE</v>
      </c>
      <c r="D94" s="5" t="s">
        <v>98</v>
      </c>
      <c r="E94" s="6">
        <v>2018</v>
      </c>
      <c r="F94" s="7" cm="1">
        <f t="array" ref="F94">_xlfn.XLOOKUP(D94&amp;E94,'[1]Viirs77-Sol'!$C$2:$C$694&amp;'[1]Viirs77-Sol'!$D$2:$D$694,'[1]Viirs77-Sol'!$E$2:$E$694)</f>
        <v>8716.1129739999997</v>
      </c>
      <c r="G94" s="7" cm="1">
        <f t="array" ref="G94">_xlfn.XLOOKUP(B94&amp;E94,'[2]Viirs77-Mean'!$A$2:$A$694&amp;'[2]Viirs77-Mean'!$D$2:$D$694,'[2]Viirs77-Mean'!$E$2:$E$694)</f>
        <v>2.1327537599999999</v>
      </c>
      <c r="H94" s="9" cm="1">
        <f t="array" ref="H94">_xlfn.XLOOKUP(D94,cleanprovinces!$B$2:$B$78,_xlfn.XLOOKUP(panel!E94,cleanprovinces!$C$1:$AC$1,cleanprovinces!$C$2:$AC$78,"no",0,1))</f>
        <v>16854</v>
      </c>
      <c r="I94" s="4">
        <f t="shared" si="4"/>
        <v>16854000000</v>
      </c>
      <c r="J94" s="3" cm="1">
        <f t="array" ref="J94">_xlfn.XLOOKUP(D94,[3]Sheet1!$B$2:$B$78,_xlfn.XLOOKUP(E94,[3]Sheet1!$C$1:$AC$1,[3]Sheet1!$C$2:$AC$78))</f>
        <v>190</v>
      </c>
      <c r="K94" s="3">
        <f t="shared" si="3"/>
        <v>190000</v>
      </c>
      <c r="L94" s="3">
        <f t="shared" si="5"/>
        <v>88705.263157894733</v>
      </c>
      <c r="M94" s="10">
        <v>100.352936977166</v>
      </c>
      <c r="N94" s="10">
        <v>14.921262949940401</v>
      </c>
    </row>
    <row r="95" spans="1:14" hidden="1" x14ac:dyDescent="0.3">
      <c r="A95" s="5">
        <v>49</v>
      </c>
      <c r="B95" s="5" t="str">
        <f>_xlfn.XLOOKUP(D95,'[1]Viirs77-Sol'!$C$2:$C$694,'[1]Viirs77-Sol'!$A$2:$A$694)</f>
        <v>TH-17</v>
      </c>
      <c r="C95" s="5" t="str">
        <f>_xlfn.XLOOKUP(D95,cleanprovinces!$B:$B,cleanprovinces!$A:$A)</f>
        <v>CE</v>
      </c>
      <c r="D95" s="5" t="s">
        <v>98</v>
      </c>
      <c r="E95" s="6">
        <v>2019</v>
      </c>
      <c r="F95" s="7" cm="1">
        <f t="array" ref="F95">_xlfn.XLOOKUP(D95&amp;E95,'[1]Viirs77-Sol'!$C$2:$C$694&amp;'[1]Viirs77-Sol'!$D$2:$D$694,'[1]Viirs77-Sol'!$E$2:$E$694)</f>
        <v>9002.7411489999995</v>
      </c>
      <c r="G95" s="7" cm="1">
        <f t="array" ref="G95">_xlfn.XLOOKUP(B95&amp;E95,'[2]Viirs77-Mean'!$A$2:$A$694&amp;'[2]Viirs77-Mean'!$D$2:$D$694,'[2]Viirs77-Mean'!$E$2:$E$694)</f>
        <v>2.2028890739999998</v>
      </c>
      <c r="H95" s="9" cm="1">
        <f t="array" ref="H95">_xlfn.XLOOKUP(D95,cleanprovinces!$B$2:$B$78,_xlfn.XLOOKUP(panel!E95,cleanprovinces!$C$1:$AC$1,cleanprovinces!$C$2:$AC$78,"no",0,1))</f>
        <v>16717</v>
      </c>
      <c r="I95" s="4">
        <f t="shared" si="4"/>
        <v>16717000000</v>
      </c>
      <c r="J95" s="3" cm="1">
        <f t="array" ref="J95">_xlfn.XLOOKUP(D95,[3]Sheet1!$B$2:$B$78,_xlfn.XLOOKUP(E95,[3]Sheet1!$C$1:$AC$1,[3]Sheet1!$C$2:$AC$78))</f>
        <v>189</v>
      </c>
      <c r="K95" s="3">
        <f t="shared" si="3"/>
        <v>189000</v>
      </c>
      <c r="L95" s="3">
        <f t="shared" si="5"/>
        <v>88449.735449735454</v>
      </c>
      <c r="M95" s="10">
        <v>100.352936977166</v>
      </c>
      <c r="N95" s="10">
        <v>14.921262949940401</v>
      </c>
    </row>
    <row r="96" spans="1:14" hidden="1" x14ac:dyDescent="0.3">
      <c r="A96" s="5">
        <v>49</v>
      </c>
      <c r="B96" s="5" t="str">
        <f>_xlfn.XLOOKUP(D96,'[1]Viirs77-Sol'!$C$2:$C$694,'[1]Viirs77-Sol'!$A$2:$A$694)</f>
        <v>TH-17</v>
      </c>
      <c r="C96" s="5" t="str">
        <f>_xlfn.XLOOKUP(D96,cleanprovinces!$B:$B,cleanprovinces!$A:$A)</f>
        <v>CE</v>
      </c>
      <c r="D96" s="5" t="s">
        <v>98</v>
      </c>
      <c r="E96" s="6">
        <v>2020</v>
      </c>
      <c r="F96" s="7" cm="1">
        <f t="array" ref="F96">_xlfn.XLOOKUP(D96&amp;E96,'[1]Viirs77-Sol'!$C$2:$C$694&amp;'[1]Viirs77-Sol'!$D$2:$D$694,'[1]Viirs77-Sol'!$E$2:$E$694)</f>
        <v>9305.8010689999992</v>
      </c>
      <c r="G96" s="7" cm="1">
        <f t="array" ref="G96">_xlfn.XLOOKUP(B96&amp;E96,'[2]Viirs77-Mean'!$A$2:$A$694&amp;'[2]Viirs77-Mean'!$D$2:$D$694,'[2]Viirs77-Mean'!$E$2:$E$694)</f>
        <v>2.2770450860000002</v>
      </c>
      <c r="H96" s="9" cm="1">
        <f t="array" ref="H96">_xlfn.XLOOKUP(D96,cleanprovinces!$B$2:$B$78,_xlfn.XLOOKUP(panel!E96,cleanprovinces!$C$1:$AC$1,cleanprovinces!$C$2:$AC$78,"no",0,1))</f>
        <v>15455</v>
      </c>
      <c r="I96" s="4">
        <f t="shared" si="4"/>
        <v>15455000000</v>
      </c>
      <c r="J96" s="3" cm="1">
        <f t="array" ref="J96">_xlfn.XLOOKUP(D96,[3]Sheet1!$B$2:$B$78,_xlfn.XLOOKUP(E96,[3]Sheet1!$C$1:$AC$1,[3]Sheet1!$C$2:$AC$78))</f>
        <v>187</v>
      </c>
      <c r="K96" s="3">
        <f t="shared" si="3"/>
        <v>187000</v>
      </c>
      <c r="L96" s="3">
        <f t="shared" si="5"/>
        <v>82647.058823529413</v>
      </c>
      <c r="M96" s="10">
        <v>100.352936977166</v>
      </c>
      <c r="N96" s="10">
        <v>14.921262949940401</v>
      </c>
    </row>
    <row r="97" spans="1:14" hidden="1" x14ac:dyDescent="0.3">
      <c r="A97" s="5">
        <v>49</v>
      </c>
      <c r="B97" s="5" t="str">
        <f>_xlfn.XLOOKUP(D97,'[1]Viirs77-Sol'!$C$2:$C$694,'[1]Viirs77-Sol'!$A$2:$A$694)</f>
        <v>TH-17</v>
      </c>
      <c r="C97" s="5" t="str">
        <f>_xlfn.XLOOKUP(D97,cleanprovinces!$B:$B,cleanprovinces!$A:$A)</f>
        <v>CE</v>
      </c>
      <c r="D97" s="5" t="s">
        <v>98</v>
      </c>
      <c r="E97" s="6">
        <v>2021</v>
      </c>
      <c r="F97" s="7" cm="1">
        <f t="array" ref="F97">_xlfn.XLOOKUP(D97&amp;E97,'[1]Viirs77-Sol'!$C$2:$C$694&amp;'[1]Viirs77-Sol'!$D$2:$D$694,'[1]Viirs77-Sol'!$E$2:$E$694)</f>
        <v>10520.00821</v>
      </c>
      <c r="G97" s="7" cm="1">
        <f t="array" ref="G97">_xlfn.XLOOKUP(B97&amp;E97,'[2]Viirs77-Mean'!$A$2:$A$694&amp;'[2]Viirs77-Mean'!$D$2:$D$694,'[2]Viirs77-Mean'!$E$2:$E$694)</f>
        <v>2.5741505579999999</v>
      </c>
      <c r="H97" s="9" cm="1">
        <f t="array" ref="H97">_xlfn.XLOOKUP(D97,cleanprovinces!$B$2:$B$78,_xlfn.XLOOKUP(panel!E97,cleanprovinces!$C$1:$AC$1,cleanprovinces!$C$2:$AC$78,"no",0,1))</f>
        <v>15615</v>
      </c>
      <c r="I97" s="4">
        <f t="shared" si="4"/>
        <v>15615000000</v>
      </c>
      <c r="J97" s="3" cm="1">
        <f t="array" ref="J97">_xlfn.XLOOKUP(D97,[3]Sheet1!$B$2:$B$78,_xlfn.XLOOKUP(E97,[3]Sheet1!$C$1:$AC$1,[3]Sheet1!$C$2:$AC$78))</f>
        <v>186</v>
      </c>
      <c r="K97" s="3">
        <f t="shared" si="3"/>
        <v>186000</v>
      </c>
      <c r="L97" s="3">
        <f t="shared" si="5"/>
        <v>83951.612903225803</v>
      </c>
      <c r="M97" s="10">
        <v>100.352936977166</v>
      </c>
      <c r="N97" s="10">
        <v>14.921262949940401</v>
      </c>
    </row>
    <row r="98" spans="1:14" hidden="1" x14ac:dyDescent="0.3">
      <c r="A98" s="5">
        <v>4</v>
      </c>
      <c r="B98" s="5" t="str">
        <f>_xlfn.XLOOKUP(D98,'[1]Viirs77-Sol'!$C$2:$C$694,'[1]Viirs77-Sol'!$A$2:$A$694)</f>
        <v>TH-24</v>
      </c>
      <c r="C98" s="5" t="str">
        <f>_xlfn.XLOOKUP(D98,cleanprovinces!$B:$B,cleanprovinces!$A:$A)</f>
        <v>EA</v>
      </c>
      <c r="D98" s="8" t="s">
        <v>82</v>
      </c>
      <c r="E98" s="6">
        <v>2014</v>
      </c>
      <c r="F98" s="7" cm="1">
        <f t="array" ref="F98">_xlfn.XLOOKUP(D98&amp;E98,'[1]Viirs77-Sol'!$C$2:$C$694&amp;'[1]Viirs77-Sol'!$D$2:$D$694,'[1]Viirs77-Sol'!$E$2:$E$694)</f>
        <v>28064.425579999999</v>
      </c>
      <c r="G98" s="7" cm="1">
        <f t="array" ref="G98">_xlfn.XLOOKUP(B98&amp;E98,'[2]Viirs77-Mean'!$A$2:$A$694&amp;'[2]Viirs77-Mean'!$D$2:$D$694,'[2]Viirs77-Mean'!$E$2:$E$694)</f>
        <v>1.060616081</v>
      </c>
      <c r="H98" s="9" cm="1">
        <f t="array" ref="H98">_xlfn.XLOOKUP(D98,cleanprovinces!$B$2:$B$78,_xlfn.XLOOKUP(panel!E98,cleanprovinces!$C$1:$AC$1,cleanprovinces!$C$2:$AC$78,"no",0,1))</f>
        <v>247978</v>
      </c>
      <c r="I98" s="4">
        <f t="shared" si="4"/>
        <v>247978000000</v>
      </c>
      <c r="J98" s="3" cm="1">
        <f t="array" ref="J98">_xlfn.XLOOKUP(D98,[3]Sheet1!$B$2:$B$78,_xlfn.XLOOKUP(E98,[3]Sheet1!$C$1:$AC$1,[3]Sheet1!$C$2:$AC$78))</f>
        <v>768</v>
      </c>
      <c r="K98" s="3">
        <f t="shared" si="3"/>
        <v>768000</v>
      </c>
      <c r="L98" s="3">
        <f t="shared" si="5"/>
        <v>322888.02083333331</v>
      </c>
      <c r="M98" s="10">
        <v>101.451490247541</v>
      </c>
      <c r="N98" s="10">
        <v>13.603437265525001</v>
      </c>
    </row>
    <row r="99" spans="1:14" hidden="1" x14ac:dyDescent="0.3">
      <c r="A99" s="5">
        <v>4</v>
      </c>
      <c r="B99" s="5" t="str">
        <f>_xlfn.XLOOKUP(D99,'[1]Viirs77-Sol'!$C$2:$C$694,'[1]Viirs77-Sol'!$A$2:$A$694)</f>
        <v>TH-24</v>
      </c>
      <c r="C99" s="5" t="str">
        <f>_xlfn.XLOOKUP(D99,cleanprovinces!$B:$B,cleanprovinces!$A:$A)</f>
        <v>EA</v>
      </c>
      <c r="D99" s="5" t="s">
        <v>82</v>
      </c>
      <c r="E99" s="6">
        <v>2015</v>
      </c>
      <c r="F99" s="7" cm="1">
        <f t="array" ref="F99">_xlfn.XLOOKUP(D99&amp;E99,'[1]Viirs77-Sol'!$C$2:$C$694&amp;'[1]Viirs77-Sol'!$D$2:$D$694,'[1]Viirs77-Sol'!$E$2:$E$694)</f>
        <v>30468.60727</v>
      </c>
      <c r="G99" s="7" cm="1">
        <f t="array" ref="G99">_xlfn.XLOOKUP(B99&amp;E99,'[2]Viirs77-Mean'!$A$2:$A$694&amp;'[2]Viirs77-Mean'!$D$2:$D$694,'[2]Viirs77-Mean'!$E$2:$E$694)</f>
        <v>1.1514753710000001</v>
      </c>
      <c r="H99" s="9" cm="1">
        <f t="array" ref="H99">_xlfn.XLOOKUP(D99,cleanprovinces!$B$2:$B$78,_xlfn.XLOOKUP(panel!E99,cleanprovinces!$C$1:$AC$1,cleanprovinces!$C$2:$AC$78,"no",0,1))</f>
        <v>241205</v>
      </c>
      <c r="I99" s="4">
        <f t="shared" si="4"/>
        <v>241205000000</v>
      </c>
      <c r="J99" s="3" cm="1">
        <f t="array" ref="J99">_xlfn.XLOOKUP(D99,[3]Sheet1!$B$2:$B$78,_xlfn.XLOOKUP(E99,[3]Sheet1!$C$1:$AC$1,[3]Sheet1!$C$2:$AC$78))</f>
        <v>781</v>
      </c>
      <c r="K99" s="3">
        <f t="shared" si="3"/>
        <v>781000</v>
      </c>
      <c r="L99" s="3">
        <f t="shared" si="5"/>
        <v>308841.22919334186</v>
      </c>
      <c r="M99" s="10">
        <v>101.451490247541</v>
      </c>
      <c r="N99" s="10">
        <v>13.603437265525001</v>
      </c>
    </row>
    <row r="100" spans="1:14" hidden="1" x14ac:dyDescent="0.3">
      <c r="A100" s="5">
        <v>4</v>
      </c>
      <c r="B100" s="5" t="str">
        <f>_xlfn.XLOOKUP(D100,'[1]Viirs77-Sol'!$C$2:$C$694,'[1]Viirs77-Sol'!$A$2:$A$694)</f>
        <v>TH-24</v>
      </c>
      <c r="C100" s="5" t="str">
        <f>_xlfn.XLOOKUP(D100,cleanprovinces!$B:$B,cleanprovinces!$A:$A)</f>
        <v>EA</v>
      </c>
      <c r="D100" s="5" t="s">
        <v>82</v>
      </c>
      <c r="E100" s="6">
        <v>2016</v>
      </c>
      <c r="F100" s="7" cm="1">
        <f t="array" ref="F100">_xlfn.XLOOKUP(D100&amp;E100,'[1]Viirs77-Sol'!$C$2:$C$694&amp;'[1]Viirs77-Sol'!$D$2:$D$694,'[1]Viirs77-Sol'!$E$2:$E$694)</f>
        <v>32194.315780000001</v>
      </c>
      <c r="G100" s="7" cm="1">
        <f t="array" ref="G100">_xlfn.XLOOKUP(B100&amp;E100,'[2]Viirs77-Mean'!$A$2:$A$694&amp;'[2]Viirs77-Mean'!$D$2:$D$694,'[2]Viirs77-Mean'!$E$2:$E$694)</f>
        <v>1.216693673</v>
      </c>
      <c r="H100" s="9" cm="1">
        <f t="array" ref="H100">_xlfn.XLOOKUP(D100,cleanprovinces!$B$2:$B$78,_xlfn.XLOOKUP(panel!E100,cleanprovinces!$C$1:$AC$1,cleanprovinces!$C$2:$AC$78,"no",0,1))</f>
        <v>254902</v>
      </c>
      <c r="I100" s="4">
        <f t="shared" si="4"/>
        <v>254902000000</v>
      </c>
      <c r="J100" s="3" cm="1">
        <f t="array" ref="J100">_xlfn.XLOOKUP(D100,[3]Sheet1!$B$2:$B$78,_xlfn.XLOOKUP(E100,[3]Sheet1!$C$1:$AC$1,[3]Sheet1!$C$2:$AC$78))</f>
        <v>792</v>
      </c>
      <c r="K100" s="3">
        <f t="shared" si="3"/>
        <v>792000</v>
      </c>
      <c r="L100" s="3">
        <f t="shared" si="5"/>
        <v>321845.95959595958</v>
      </c>
      <c r="M100" s="10">
        <v>101.451490247541</v>
      </c>
      <c r="N100" s="10">
        <v>13.603437265525001</v>
      </c>
    </row>
    <row r="101" spans="1:14" hidden="1" x14ac:dyDescent="0.3">
      <c r="A101" s="5">
        <v>4</v>
      </c>
      <c r="B101" s="5" t="str">
        <f>_xlfn.XLOOKUP(D101,'[1]Viirs77-Sol'!$C$2:$C$694,'[1]Viirs77-Sol'!$A$2:$A$694)</f>
        <v>TH-24</v>
      </c>
      <c r="C101" s="5" t="str">
        <f>_xlfn.XLOOKUP(D101,cleanprovinces!$B:$B,cleanprovinces!$A:$A)</f>
        <v>EA</v>
      </c>
      <c r="D101" s="5" t="s">
        <v>82</v>
      </c>
      <c r="E101" s="6">
        <v>2017</v>
      </c>
      <c r="F101" s="7" cm="1">
        <f t="array" ref="F101">_xlfn.XLOOKUP(D101&amp;E101,'[1]Viirs77-Sol'!$C$2:$C$694&amp;'[1]Viirs77-Sol'!$D$2:$D$694,'[1]Viirs77-Sol'!$E$2:$E$694)</f>
        <v>36108.058169999997</v>
      </c>
      <c r="G101" s="7" cm="1">
        <f t="array" ref="G101">_xlfn.XLOOKUP(B101&amp;E101,'[2]Viirs77-Mean'!$A$2:$A$694&amp;'[2]Viirs77-Mean'!$D$2:$D$694,'[2]Viirs77-Mean'!$E$2:$E$694)</f>
        <v>1.3646025660000001</v>
      </c>
      <c r="H101" s="9" cm="1">
        <f t="array" ref="H101">_xlfn.XLOOKUP(D101,cleanprovinces!$B$2:$B$78,_xlfn.XLOOKUP(panel!E101,cleanprovinces!$C$1:$AC$1,cleanprovinces!$C$2:$AC$78,"no",0,1))</f>
        <v>251683</v>
      </c>
      <c r="I101" s="4">
        <f t="shared" si="4"/>
        <v>251683000000</v>
      </c>
      <c r="J101" s="3" cm="1">
        <f t="array" ref="J101">_xlfn.XLOOKUP(D101,[3]Sheet1!$B$2:$B$78,_xlfn.XLOOKUP(E101,[3]Sheet1!$C$1:$AC$1,[3]Sheet1!$C$2:$AC$78))</f>
        <v>806</v>
      </c>
      <c r="K101" s="3">
        <f t="shared" si="3"/>
        <v>806000</v>
      </c>
      <c r="L101" s="3">
        <f t="shared" si="5"/>
        <v>312261.78660049627</v>
      </c>
      <c r="M101" s="10">
        <v>101.451490247541</v>
      </c>
      <c r="N101" s="10">
        <v>13.603437265525001</v>
      </c>
    </row>
    <row r="102" spans="1:14" hidden="1" x14ac:dyDescent="0.3">
      <c r="A102" s="5">
        <v>4</v>
      </c>
      <c r="B102" s="5" t="str">
        <f>_xlfn.XLOOKUP(D102,'[1]Viirs77-Sol'!$C$2:$C$694,'[1]Viirs77-Sol'!$A$2:$A$694)</f>
        <v>TH-24</v>
      </c>
      <c r="C102" s="5" t="str">
        <f>_xlfn.XLOOKUP(D102,cleanprovinces!$B:$B,cleanprovinces!$A:$A)</f>
        <v>EA</v>
      </c>
      <c r="D102" s="5" t="s">
        <v>82</v>
      </c>
      <c r="E102" s="6">
        <v>2018</v>
      </c>
      <c r="F102" s="7" cm="1">
        <f t="array" ref="F102">_xlfn.XLOOKUP(D102&amp;E102,'[1]Viirs77-Sol'!$C$2:$C$694&amp;'[1]Viirs77-Sol'!$D$2:$D$694,'[1]Viirs77-Sol'!$E$2:$E$694)</f>
        <v>36129.322970000001</v>
      </c>
      <c r="G102" s="7" cm="1">
        <f t="array" ref="G102">_xlfn.XLOOKUP(B102&amp;E102,'[2]Viirs77-Mean'!$A$2:$A$694&amp;'[2]Viirs77-Mean'!$D$2:$D$694,'[2]Viirs77-Mean'!$E$2:$E$694)</f>
        <v>1.3654062090000001</v>
      </c>
      <c r="H102" s="9" cm="1">
        <f t="array" ref="H102">_xlfn.XLOOKUP(D102,cleanprovinces!$B$2:$B$78,_xlfn.XLOOKUP(panel!E102,cleanprovinces!$C$1:$AC$1,cleanprovinces!$C$2:$AC$78,"no",0,1))</f>
        <v>282186</v>
      </c>
      <c r="I102" s="4">
        <f t="shared" si="4"/>
        <v>282186000000</v>
      </c>
      <c r="J102" s="3" cm="1">
        <f t="array" ref="J102">_xlfn.XLOOKUP(D102,[3]Sheet1!$B$2:$B$78,_xlfn.XLOOKUP(E102,[3]Sheet1!$C$1:$AC$1,[3]Sheet1!$C$2:$AC$78))</f>
        <v>823</v>
      </c>
      <c r="K102" s="3">
        <f t="shared" si="3"/>
        <v>823000</v>
      </c>
      <c r="L102" s="3">
        <f t="shared" si="5"/>
        <v>342874.8481166464</v>
      </c>
      <c r="M102" s="10">
        <v>101.451490247541</v>
      </c>
      <c r="N102" s="10">
        <v>13.603437265525001</v>
      </c>
    </row>
    <row r="103" spans="1:14" hidden="1" x14ac:dyDescent="0.3">
      <c r="A103" s="5">
        <v>4</v>
      </c>
      <c r="B103" s="5" t="str">
        <f>_xlfn.XLOOKUP(D103,'[1]Viirs77-Sol'!$C$2:$C$694,'[1]Viirs77-Sol'!$A$2:$A$694)</f>
        <v>TH-24</v>
      </c>
      <c r="C103" s="5" t="str">
        <f>_xlfn.XLOOKUP(D103,cleanprovinces!$B:$B,cleanprovinces!$A:$A)</f>
        <v>EA</v>
      </c>
      <c r="D103" s="5" t="s">
        <v>82</v>
      </c>
      <c r="E103" s="6">
        <v>2019</v>
      </c>
      <c r="F103" s="7" cm="1">
        <f t="array" ref="F103">_xlfn.XLOOKUP(D103&amp;E103,'[1]Viirs77-Sol'!$C$2:$C$694&amp;'[1]Viirs77-Sol'!$D$2:$D$694,'[1]Viirs77-Sol'!$E$2:$E$694)</f>
        <v>37661.571689999997</v>
      </c>
      <c r="G103" s="7" cm="1">
        <f t="array" ref="G103">_xlfn.XLOOKUP(B103&amp;E103,'[2]Viirs77-Mean'!$A$2:$A$694&amp;'[2]Viirs77-Mean'!$D$2:$D$694,'[2]Viirs77-Mean'!$E$2:$E$694)</f>
        <v>1.423313243</v>
      </c>
      <c r="H103" s="9" cm="1">
        <f t="array" ref="H103">_xlfn.XLOOKUP(D103,cleanprovinces!$B$2:$B$78,_xlfn.XLOOKUP(panel!E103,cleanprovinces!$C$1:$AC$1,cleanprovinces!$C$2:$AC$78,"no",0,1))</f>
        <v>278107</v>
      </c>
      <c r="I103" s="4">
        <f t="shared" si="4"/>
        <v>278107000000</v>
      </c>
      <c r="J103" s="3" cm="1">
        <f t="array" ref="J103">_xlfn.XLOOKUP(D103,[3]Sheet1!$B$2:$B$78,_xlfn.XLOOKUP(E103,[3]Sheet1!$C$1:$AC$1,[3]Sheet1!$C$2:$AC$78))</f>
        <v>840</v>
      </c>
      <c r="K103" s="3">
        <f t="shared" si="3"/>
        <v>840000</v>
      </c>
      <c r="L103" s="3">
        <f t="shared" si="5"/>
        <v>331079.76190476189</v>
      </c>
      <c r="M103" s="10">
        <v>101.451490247541</v>
      </c>
      <c r="N103" s="10">
        <v>13.603437265525001</v>
      </c>
    </row>
    <row r="104" spans="1:14" hidden="1" x14ac:dyDescent="0.3">
      <c r="A104" s="5">
        <v>4</v>
      </c>
      <c r="B104" s="5" t="str">
        <f>_xlfn.XLOOKUP(D104,'[1]Viirs77-Sol'!$C$2:$C$694,'[1]Viirs77-Sol'!$A$2:$A$694)</f>
        <v>TH-24</v>
      </c>
      <c r="C104" s="5" t="str">
        <f>_xlfn.XLOOKUP(D104,cleanprovinces!$B:$B,cleanprovinces!$A:$A)</f>
        <v>EA</v>
      </c>
      <c r="D104" s="5" t="s">
        <v>82</v>
      </c>
      <c r="E104" s="6">
        <v>2020</v>
      </c>
      <c r="F104" s="7" cm="1">
        <f t="array" ref="F104">_xlfn.XLOOKUP(D104&amp;E104,'[1]Viirs77-Sol'!$C$2:$C$694&amp;'[1]Viirs77-Sol'!$D$2:$D$694,'[1]Viirs77-Sol'!$E$2:$E$694)</f>
        <v>40027.800539999997</v>
      </c>
      <c r="G104" s="7" cm="1">
        <f t="array" ref="G104">_xlfn.XLOOKUP(B104&amp;E104,'[2]Viirs77-Mean'!$A$2:$A$694&amp;'[2]Viirs77-Mean'!$D$2:$D$694,'[2]Viirs77-Mean'!$E$2:$E$694)</f>
        <v>1.5127382110000001</v>
      </c>
      <c r="H104" s="9" cm="1">
        <f t="array" ref="H104">_xlfn.XLOOKUP(D104,cleanprovinces!$B$2:$B$78,_xlfn.XLOOKUP(panel!E104,cleanprovinces!$C$1:$AC$1,cleanprovinces!$C$2:$AC$78,"no",0,1))</f>
        <v>244573</v>
      </c>
      <c r="I104" s="4">
        <f t="shared" si="4"/>
        <v>244573000000</v>
      </c>
      <c r="J104" s="3" cm="1">
        <f t="array" ref="J104">_xlfn.XLOOKUP(D104,[3]Sheet1!$B$2:$B$78,_xlfn.XLOOKUP(E104,[3]Sheet1!$C$1:$AC$1,[3]Sheet1!$C$2:$AC$78))</f>
        <v>858</v>
      </c>
      <c r="K104" s="3">
        <f t="shared" si="3"/>
        <v>858000</v>
      </c>
      <c r="L104" s="3">
        <f t="shared" si="5"/>
        <v>285050.11655011657</v>
      </c>
      <c r="M104" s="10">
        <v>101.451490247541</v>
      </c>
      <c r="N104" s="10">
        <v>13.603437265525001</v>
      </c>
    </row>
    <row r="105" spans="1:14" hidden="1" x14ac:dyDescent="0.3">
      <c r="A105" s="5">
        <v>4</v>
      </c>
      <c r="B105" s="5" t="str">
        <f>_xlfn.XLOOKUP(D105,'[1]Viirs77-Sol'!$C$2:$C$694,'[1]Viirs77-Sol'!$A$2:$A$694)</f>
        <v>TH-24</v>
      </c>
      <c r="C105" s="5" t="str">
        <f>_xlfn.XLOOKUP(D105,cleanprovinces!$B:$B,cleanprovinces!$A:$A)</f>
        <v>EA</v>
      </c>
      <c r="D105" s="5" t="s">
        <v>82</v>
      </c>
      <c r="E105" s="6">
        <v>2021</v>
      </c>
      <c r="F105" s="7" cm="1">
        <f t="array" ref="F105">_xlfn.XLOOKUP(D105&amp;E105,'[1]Viirs77-Sol'!$C$2:$C$694&amp;'[1]Viirs77-Sol'!$D$2:$D$694,'[1]Viirs77-Sol'!$E$2:$E$694)</f>
        <v>46394.929750000003</v>
      </c>
      <c r="G105" s="7" cm="1">
        <f t="array" ref="G105">_xlfn.XLOOKUP(B105&amp;E105,'[2]Viirs77-Mean'!$A$2:$A$694&amp;'[2]Viirs77-Mean'!$D$2:$D$694,'[2]Viirs77-Mean'!$E$2:$E$694)</f>
        <v>1.753365963</v>
      </c>
      <c r="H105" s="9" cm="1">
        <f t="array" ref="H105">_xlfn.XLOOKUP(D105,cleanprovinces!$B$2:$B$78,_xlfn.XLOOKUP(panel!E105,cleanprovinces!$C$1:$AC$1,cleanprovinces!$C$2:$AC$78,"no",0,1))</f>
        <v>283475</v>
      </c>
      <c r="I105" s="4">
        <f t="shared" si="4"/>
        <v>283475000000</v>
      </c>
      <c r="J105" s="3" cm="1">
        <f t="array" ref="J105">_xlfn.XLOOKUP(D105,[3]Sheet1!$B$2:$B$78,_xlfn.XLOOKUP(E105,[3]Sheet1!$C$1:$AC$1,[3]Sheet1!$C$2:$AC$78))</f>
        <v>875</v>
      </c>
      <c r="K105" s="3">
        <f t="shared" si="3"/>
        <v>875000</v>
      </c>
      <c r="L105" s="3">
        <f t="shared" si="5"/>
        <v>323971.42857142858</v>
      </c>
      <c r="M105" s="10">
        <v>101.451490247541</v>
      </c>
      <c r="N105" s="10">
        <v>13.603437265525001</v>
      </c>
    </row>
    <row r="106" spans="1:14" hidden="1" x14ac:dyDescent="0.3">
      <c r="A106" s="5">
        <v>71</v>
      </c>
      <c r="B106" s="5" t="str">
        <f>_xlfn.XLOOKUP(D106,'[1]Viirs77-Sol'!$C$2:$C$694,'[1]Viirs77-Sol'!$A$2:$A$694)</f>
        <v>TH-22</v>
      </c>
      <c r="C106" s="5" t="str">
        <f>_xlfn.XLOOKUP(D106,cleanprovinces!$B:$B,cleanprovinces!$A:$A)</f>
        <v>EA</v>
      </c>
      <c r="D106" s="5" t="s">
        <v>85</v>
      </c>
      <c r="E106" s="6">
        <v>2014</v>
      </c>
      <c r="F106" s="7" cm="1">
        <f t="array" ref="F106">_xlfn.XLOOKUP(D106&amp;E106,'[1]Viirs77-Sol'!$C$2:$C$694&amp;'[1]Viirs77-Sol'!$D$2:$D$694,'[1]Viirs77-Sol'!$E$2:$E$694)</f>
        <v>9933.6372890000002</v>
      </c>
      <c r="G106" s="7" cm="1">
        <f t="array" ref="G106">_xlfn.XLOOKUP(B106&amp;E106,'[2]Viirs77-Mean'!$A$2:$A$694&amp;'[2]Viirs77-Mean'!$D$2:$D$694,'[2]Viirs77-Mean'!$E$2:$E$694)</f>
        <v>0.34316996300000002</v>
      </c>
      <c r="H106" s="9" cm="1">
        <f t="array" ref="H106">_xlfn.XLOOKUP(D106,cleanprovinces!$B$2:$B$78,_xlfn.XLOOKUP(panel!E106,cleanprovinces!$C$1:$AC$1,cleanprovinces!$C$2:$AC$78,"no",0,1))</f>
        <v>54023</v>
      </c>
      <c r="I106" s="4">
        <f t="shared" si="4"/>
        <v>54023000000</v>
      </c>
      <c r="J106" s="3" cm="1">
        <f t="array" ref="J106">_xlfn.XLOOKUP(D106,[3]Sheet1!$B$2:$B$78,_xlfn.XLOOKUP(E106,[3]Sheet1!$C$1:$AC$1,[3]Sheet1!$C$2:$AC$78))</f>
        <v>518</v>
      </c>
      <c r="K106" s="3">
        <f t="shared" si="3"/>
        <v>518000</v>
      </c>
      <c r="L106" s="3">
        <f t="shared" si="5"/>
        <v>104291.5057915058</v>
      </c>
      <c r="M106" s="10">
        <v>102.129403771657</v>
      </c>
      <c r="N106" s="10">
        <v>12.861227836904799</v>
      </c>
    </row>
    <row r="107" spans="1:14" hidden="1" x14ac:dyDescent="0.3">
      <c r="A107" s="5">
        <v>71</v>
      </c>
      <c r="B107" s="5" t="str">
        <f>_xlfn.XLOOKUP(D107,'[1]Viirs77-Sol'!$C$2:$C$694,'[1]Viirs77-Sol'!$A$2:$A$694)</f>
        <v>TH-22</v>
      </c>
      <c r="C107" s="5" t="str">
        <f>_xlfn.XLOOKUP(D107,cleanprovinces!$B:$B,cleanprovinces!$A:$A)</f>
        <v>EA</v>
      </c>
      <c r="D107" s="5" t="s">
        <v>85</v>
      </c>
      <c r="E107" s="6">
        <v>2015</v>
      </c>
      <c r="F107" s="7" cm="1">
        <f t="array" ref="F107">_xlfn.XLOOKUP(D107&amp;E107,'[1]Viirs77-Sol'!$C$2:$C$694&amp;'[1]Viirs77-Sol'!$D$2:$D$694,'[1]Viirs77-Sol'!$E$2:$E$694)</f>
        <v>11223.20009</v>
      </c>
      <c r="G107" s="7" cm="1">
        <f t="array" ref="G107">_xlfn.XLOOKUP(B107&amp;E107,'[2]Viirs77-Mean'!$A$2:$A$694&amp;'[2]Viirs77-Mean'!$D$2:$D$694,'[2]Viirs77-Mean'!$E$2:$E$694)</f>
        <v>0.38771952799999998</v>
      </c>
      <c r="H107" s="9" cm="1">
        <f t="array" ref="H107">_xlfn.XLOOKUP(D107,cleanprovinces!$B$2:$B$78,_xlfn.XLOOKUP(panel!E107,cleanprovinces!$C$1:$AC$1,cleanprovinces!$C$2:$AC$78,"no",0,1))</f>
        <v>53348</v>
      </c>
      <c r="I107" s="4">
        <f t="shared" si="4"/>
        <v>53348000000</v>
      </c>
      <c r="J107" s="3" cm="1">
        <f t="array" ref="J107">_xlfn.XLOOKUP(D107,[3]Sheet1!$B$2:$B$78,_xlfn.XLOOKUP(E107,[3]Sheet1!$C$1:$AC$1,[3]Sheet1!$C$2:$AC$78))</f>
        <v>526</v>
      </c>
      <c r="K107" s="3">
        <f t="shared" si="3"/>
        <v>526000</v>
      </c>
      <c r="L107" s="3">
        <f t="shared" si="5"/>
        <v>101422.05323193916</v>
      </c>
      <c r="M107" s="10">
        <v>102.129403771657</v>
      </c>
      <c r="N107" s="10">
        <v>12.861227836904799</v>
      </c>
    </row>
    <row r="108" spans="1:14" hidden="1" x14ac:dyDescent="0.3">
      <c r="A108" s="5">
        <v>71</v>
      </c>
      <c r="B108" s="5" t="str">
        <f>_xlfn.XLOOKUP(D108,'[1]Viirs77-Sol'!$C$2:$C$694,'[1]Viirs77-Sol'!$A$2:$A$694)</f>
        <v>TH-22</v>
      </c>
      <c r="C108" s="5" t="str">
        <f>_xlfn.XLOOKUP(D108,cleanprovinces!$B:$B,cleanprovinces!$A:$A)</f>
        <v>EA</v>
      </c>
      <c r="D108" s="5" t="s">
        <v>85</v>
      </c>
      <c r="E108" s="6">
        <v>2016</v>
      </c>
      <c r="F108" s="7" cm="1">
        <f t="array" ref="F108">_xlfn.XLOOKUP(D108&amp;E108,'[1]Viirs77-Sol'!$C$2:$C$694&amp;'[1]Viirs77-Sol'!$D$2:$D$694,'[1]Viirs77-Sol'!$E$2:$E$694)</f>
        <v>11963.77736</v>
      </c>
      <c r="G108" s="7" cm="1">
        <f t="array" ref="G108">_xlfn.XLOOKUP(B108&amp;E108,'[2]Viirs77-Mean'!$A$2:$A$694&amp;'[2]Viirs77-Mean'!$D$2:$D$694,'[2]Viirs77-Mean'!$E$2:$E$694)</f>
        <v>0.41330369900000002</v>
      </c>
      <c r="H108" s="9" cm="1">
        <f t="array" ref="H108">_xlfn.XLOOKUP(D108,cleanprovinces!$B$2:$B$78,_xlfn.XLOOKUP(panel!E108,cleanprovinces!$C$1:$AC$1,cleanprovinces!$C$2:$AC$78,"no",0,1))</f>
        <v>50992</v>
      </c>
      <c r="I108" s="4">
        <f t="shared" si="4"/>
        <v>50992000000</v>
      </c>
      <c r="J108" s="3" cm="1">
        <f t="array" ref="J108">_xlfn.XLOOKUP(D108,[3]Sheet1!$B$2:$B$78,_xlfn.XLOOKUP(E108,[3]Sheet1!$C$1:$AC$1,[3]Sheet1!$C$2:$AC$78))</f>
        <v>535</v>
      </c>
      <c r="K108" s="3">
        <f t="shared" si="3"/>
        <v>535000</v>
      </c>
      <c r="L108" s="3">
        <f t="shared" si="5"/>
        <v>95312.149532710275</v>
      </c>
      <c r="M108" s="10">
        <v>102.129403771657</v>
      </c>
      <c r="N108" s="10">
        <v>12.861227836904799</v>
      </c>
    </row>
    <row r="109" spans="1:14" hidden="1" x14ac:dyDescent="0.3">
      <c r="A109" s="5">
        <v>71</v>
      </c>
      <c r="B109" s="5" t="str">
        <f>_xlfn.XLOOKUP(D109,'[1]Viirs77-Sol'!$C$2:$C$694,'[1]Viirs77-Sol'!$A$2:$A$694)</f>
        <v>TH-22</v>
      </c>
      <c r="C109" s="5" t="str">
        <f>_xlfn.XLOOKUP(D109,cleanprovinces!$B:$B,cleanprovinces!$A:$A)</f>
        <v>EA</v>
      </c>
      <c r="D109" s="5" t="s">
        <v>85</v>
      </c>
      <c r="E109" s="6">
        <v>2017</v>
      </c>
      <c r="F109" s="7" cm="1">
        <f t="array" ref="F109">_xlfn.XLOOKUP(D109&amp;E109,'[1]Viirs77-Sol'!$C$2:$C$694&amp;'[1]Viirs77-Sol'!$D$2:$D$694,'[1]Viirs77-Sol'!$E$2:$E$694)</f>
        <v>14040.64068</v>
      </c>
      <c r="G109" s="7" cm="1">
        <f t="array" ref="G109">_xlfn.XLOOKUP(B109&amp;E109,'[2]Viirs77-Mean'!$A$2:$A$694&amp;'[2]Viirs77-Mean'!$D$2:$D$694,'[2]Viirs77-Mean'!$E$2:$E$694)</f>
        <v>0.48505154700000003</v>
      </c>
      <c r="H109" s="9" cm="1">
        <f t="array" ref="H109">_xlfn.XLOOKUP(D109,cleanprovinces!$B$2:$B$78,_xlfn.XLOOKUP(panel!E109,cleanprovinces!$C$1:$AC$1,cleanprovinces!$C$2:$AC$78,"no",0,1))</f>
        <v>59777</v>
      </c>
      <c r="I109" s="4">
        <f t="shared" si="4"/>
        <v>59777000000</v>
      </c>
      <c r="J109" s="3" cm="1">
        <f t="array" ref="J109">_xlfn.XLOOKUP(D109,[3]Sheet1!$B$2:$B$78,_xlfn.XLOOKUP(E109,[3]Sheet1!$C$1:$AC$1,[3]Sheet1!$C$2:$AC$78))</f>
        <v>544</v>
      </c>
      <c r="K109" s="3">
        <f t="shared" si="3"/>
        <v>544000</v>
      </c>
      <c r="L109" s="3">
        <f t="shared" si="5"/>
        <v>109884.19117647059</v>
      </c>
      <c r="M109" s="10">
        <v>102.129403771657</v>
      </c>
      <c r="N109" s="10">
        <v>12.861227836904799</v>
      </c>
    </row>
    <row r="110" spans="1:14" hidden="1" x14ac:dyDescent="0.3">
      <c r="A110" s="5">
        <v>71</v>
      </c>
      <c r="B110" s="5" t="str">
        <f>_xlfn.XLOOKUP(D110,'[1]Viirs77-Sol'!$C$2:$C$694,'[1]Viirs77-Sol'!$A$2:$A$694)</f>
        <v>TH-22</v>
      </c>
      <c r="C110" s="5" t="str">
        <f>_xlfn.XLOOKUP(D110,cleanprovinces!$B:$B,cleanprovinces!$A:$A)</f>
        <v>EA</v>
      </c>
      <c r="D110" s="5" t="s">
        <v>85</v>
      </c>
      <c r="E110" s="6">
        <v>2018</v>
      </c>
      <c r="F110" s="7" cm="1">
        <f t="array" ref="F110">_xlfn.XLOOKUP(D110&amp;E110,'[1]Viirs77-Sol'!$C$2:$C$694&amp;'[1]Viirs77-Sol'!$D$2:$D$694,'[1]Viirs77-Sol'!$E$2:$E$694)</f>
        <v>15411.743909999999</v>
      </c>
      <c r="G110" s="7" cm="1">
        <f t="array" ref="G110">_xlfn.XLOOKUP(B110&amp;E110,'[2]Viirs77-Mean'!$A$2:$A$694&amp;'[2]Viirs77-Mean'!$D$2:$D$694,'[2]Viirs77-Mean'!$E$2:$E$694)</f>
        <v>0.53241802900000001</v>
      </c>
      <c r="H110" s="9" cm="1">
        <f t="array" ref="H110">_xlfn.XLOOKUP(D110,cleanprovinces!$B$2:$B$78,_xlfn.XLOOKUP(panel!E110,cleanprovinces!$C$1:$AC$1,cleanprovinces!$C$2:$AC$78,"no",0,1))</f>
        <v>52768</v>
      </c>
      <c r="I110" s="4">
        <f t="shared" si="4"/>
        <v>52768000000</v>
      </c>
      <c r="J110" s="3" cm="1">
        <f t="array" ref="J110">_xlfn.XLOOKUP(D110,[3]Sheet1!$B$2:$B$78,_xlfn.XLOOKUP(E110,[3]Sheet1!$C$1:$AC$1,[3]Sheet1!$C$2:$AC$78))</f>
        <v>553</v>
      </c>
      <c r="K110" s="3">
        <f t="shared" si="3"/>
        <v>553000</v>
      </c>
      <c r="L110" s="3">
        <f t="shared" si="5"/>
        <v>95421.338155515376</v>
      </c>
      <c r="M110" s="10">
        <v>102.129403771657</v>
      </c>
      <c r="N110" s="10">
        <v>12.861227836904799</v>
      </c>
    </row>
    <row r="111" spans="1:14" hidden="1" x14ac:dyDescent="0.3">
      <c r="A111" s="5">
        <v>71</v>
      </c>
      <c r="B111" s="5" t="str">
        <f>_xlfn.XLOOKUP(D111,'[1]Viirs77-Sol'!$C$2:$C$694,'[1]Viirs77-Sol'!$A$2:$A$694)</f>
        <v>TH-22</v>
      </c>
      <c r="C111" s="5" t="str">
        <f>_xlfn.XLOOKUP(D111,cleanprovinces!$B:$B,cleanprovinces!$A:$A)</f>
        <v>EA</v>
      </c>
      <c r="D111" s="5" t="s">
        <v>85</v>
      </c>
      <c r="E111" s="6">
        <v>2019</v>
      </c>
      <c r="F111" s="7" cm="1">
        <f t="array" ref="F111">_xlfn.XLOOKUP(D111&amp;E111,'[1]Viirs77-Sol'!$C$2:$C$694&amp;'[1]Viirs77-Sol'!$D$2:$D$694,'[1]Viirs77-Sol'!$E$2:$E$694)</f>
        <v>16644.215120000001</v>
      </c>
      <c r="G111" s="7" cm="1">
        <f t="array" ref="G111">_xlfn.XLOOKUP(B111&amp;E111,'[2]Viirs77-Mean'!$A$2:$A$694&amp;'[2]Viirs77-Mean'!$D$2:$D$694,'[2]Viirs77-Mean'!$E$2:$E$694)</f>
        <v>0.57499529299999996</v>
      </c>
      <c r="H111" s="9" cm="1">
        <f t="array" ref="H111">_xlfn.XLOOKUP(D111,cleanprovinces!$B$2:$B$78,_xlfn.XLOOKUP(panel!E111,cleanprovinces!$C$1:$AC$1,cleanprovinces!$C$2:$AC$78,"no",0,1))</f>
        <v>55829</v>
      </c>
      <c r="I111" s="4">
        <f t="shared" si="4"/>
        <v>55829000000</v>
      </c>
      <c r="J111" s="3" cm="1">
        <f t="array" ref="J111">_xlfn.XLOOKUP(D111,[3]Sheet1!$B$2:$B$78,_xlfn.XLOOKUP(E111,[3]Sheet1!$C$1:$AC$1,[3]Sheet1!$C$2:$AC$78))</f>
        <v>557</v>
      </c>
      <c r="K111" s="3">
        <f t="shared" si="3"/>
        <v>557000</v>
      </c>
      <c r="L111" s="3">
        <f t="shared" si="5"/>
        <v>100231.59784560144</v>
      </c>
      <c r="M111" s="10">
        <v>102.129403771657</v>
      </c>
      <c r="N111" s="10">
        <v>12.861227836904799</v>
      </c>
    </row>
    <row r="112" spans="1:14" hidden="1" x14ac:dyDescent="0.3">
      <c r="A112" s="5">
        <v>71</v>
      </c>
      <c r="B112" s="5" t="str">
        <f>_xlfn.XLOOKUP(D112,'[1]Viirs77-Sol'!$C$2:$C$694,'[1]Viirs77-Sol'!$A$2:$A$694)</f>
        <v>TH-22</v>
      </c>
      <c r="C112" s="5" t="str">
        <f>_xlfn.XLOOKUP(D112,cleanprovinces!$B:$B,cleanprovinces!$A:$A)</f>
        <v>EA</v>
      </c>
      <c r="D112" s="5" t="s">
        <v>85</v>
      </c>
      <c r="E112" s="6">
        <v>2020</v>
      </c>
      <c r="F112" s="7" cm="1">
        <f t="array" ref="F112">_xlfn.XLOOKUP(D112&amp;E112,'[1]Viirs77-Sol'!$C$2:$C$694&amp;'[1]Viirs77-Sol'!$D$2:$D$694,'[1]Viirs77-Sol'!$E$2:$E$694)</f>
        <v>17607.045969999999</v>
      </c>
      <c r="G112" s="7" cm="1">
        <f t="array" ref="G112">_xlfn.XLOOKUP(B112&amp;E112,'[2]Viirs77-Mean'!$A$2:$A$694&amp;'[2]Viirs77-Mean'!$D$2:$D$694,'[2]Viirs77-Mean'!$E$2:$E$694)</f>
        <v>0.60825749299999998</v>
      </c>
      <c r="H112" s="9" cm="1">
        <f t="array" ref="H112">_xlfn.XLOOKUP(D112,cleanprovinces!$B$2:$B$78,_xlfn.XLOOKUP(panel!E112,cleanprovinces!$C$1:$AC$1,cleanprovinces!$C$2:$AC$78,"no",0,1))</f>
        <v>58915</v>
      </c>
      <c r="I112" s="4">
        <f t="shared" si="4"/>
        <v>58915000000</v>
      </c>
      <c r="J112" s="3" cm="1">
        <f t="array" ref="J112">_xlfn.XLOOKUP(D112,[3]Sheet1!$B$2:$B$78,_xlfn.XLOOKUP(E112,[3]Sheet1!$C$1:$AC$1,[3]Sheet1!$C$2:$AC$78))</f>
        <v>561</v>
      </c>
      <c r="K112" s="3">
        <f t="shared" si="3"/>
        <v>561000</v>
      </c>
      <c r="L112" s="3">
        <f t="shared" si="5"/>
        <v>105017.82531194296</v>
      </c>
      <c r="M112" s="10">
        <v>102.129403771657</v>
      </c>
      <c r="N112" s="10">
        <v>12.861227836904799</v>
      </c>
    </row>
    <row r="113" spans="1:14" hidden="1" x14ac:dyDescent="0.3">
      <c r="A113" s="5">
        <v>71</v>
      </c>
      <c r="B113" s="5" t="str">
        <f>_xlfn.XLOOKUP(D113,'[1]Viirs77-Sol'!$C$2:$C$694,'[1]Viirs77-Sol'!$A$2:$A$694)</f>
        <v>TH-22</v>
      </c>
      <c r="C113" s="5" t="str">
        <f>_xlfn.XLOOKUP(D113,cleanprovinces!$B:$B,cleanprovinces!$A:$A)</f>
        <v>EA</v>
      </c>
      <c r="D113" s="5" t="s">
        <v>85</v>
      </c>
      <c r="E113" s="6">
        <v>2021</v>
      </c>
      <c r="F113" s="7" cm="1">
        <f t="array" ref="F113">_xlfn.XLOOKUP(D113&amp;E113,'[1]Viirs77-Sol'!$C$2:$C$694&amp;'[1]Viirs77-Sol'!$D$2:$D$694,'[1]Viirs77-Sol'!$E$2:$E$694)</f>
        <v>18737.62168</v>
      </c>
      <c r="G113" s="7" cm="1">
        <f t="array" ref="G113">_xlfn.XLOOKUP(B113&amp;E113,'[2]Viirs77-Mean'!$A$2:$A$694&amp;'[2]Viirs77-Mean'!$D$2:$D$694,'[2]Viirs77-Mean'!$E$2:$E$694)</f>
        <v>0.64731464900000002</v>
      </c>
      <c r="H113" s="9" cm="1">
        <f t="array" ref="H113">_xlfn.XLOOKUP(D113,cleanprovinces!$B$2:$B$78,_xlfn.XLOOKUP(panel!E113,cleanprovinces!$C$1:$AC$1,cleanprovinces!$C$2:$AC$78,"no",0,1))</f>
        <v>58347</v>
      </c>
      <c r="I113" s="4">
        <f t="shared" si="4"/>
        <v>58347000000</v>
      </c>
      <c r="J113" s="3" cm="1">
        <f t="array" ref="J113">_xlfn.XLOOKUP(D113,[3]Sheet1!$B$2:$B$78,_xlfn.XLOOKUP(E113,[3]Sheet1!$C$1:$AC$1,[3]Sheet1!$C$2:$AC$78))</f>
        <v>566</v>
      </c>
      <c r="K113" s="3">
        <f t="shared" si="3"/>
        <v>566000</v>
      </c>
      <c r="L113" s="3">
        <f t="shared" si="5"/>
        <v>103086.57243816255</v>
      </c>
      <c r="M113" s="10">
        <v>102.129403771657</v>
      </c>
      <c r="N113" s="10">
        <v>12.861227836904799</v>
      </c>
    </row>
    <row r="114" spans="1:14" hidden="1" x14ac:dyDescent="0.3">
      <c r="A114" s="5">
        <v>64</v>
      </c>
      <c r="B114" s="5" t="str">
        <f>_xlfn.XLOOKUP(D114,'[1]Viirs77-Sol'!$C$2:$C$694,'[1]Viirs77-Sol'!$A$2:$A$694)</f>
        <v>TH-20</v>
      </c>
      <c r="C114" s="5" t="str">
        <f>_xlfn.XLOOKUP(D114,cleanprovinces!$B:$B,cleanprovinces!$A:$A)</f>
        <v>EA</v>
      </c>
      <c r="D114" s="5" t="s">
        <v>81</v>
      </c>
      <c r="E114" s="6">
        <v>2014</v>
      </c>
      <c r="F114" s="7" cm="1">
        <f t="array" ref="F114">_xlfn.XLOOKUP(D114&amp;E114,'[1]Viirs77-Sol'!$C$2:$C$694&amp;'[1]Viirs77-Sol'!$D$2:$D$694,'[1]Viirs77-Sol'!$E$2:$E$694)</f>
        <v>92436.627540000001</v>
      </c>
      <c r="G114" s="7" cm="1">
        <f t="array" ref="G114">_xlfn.XLOOKUP(B114&amp;E114,'[2]Viirs77-Mean'!$A$2:$A$694&amp;'[2]Viirs77-Mean'!$D$2:$D$694,'[2]Viirs77-Mean'!$E$2:$E$694)</f>
        <v>4.3935895680000003</v>
      </c>
      <c r="H114" s="9" cm="1">
        <f t="array" ref="H114">_xlfn.XLOOKUP(D114,cleanprovinces!$B$2:$B$78,_xlfn.XLOOKUP(panel!E114,cleanprovinces!$C$1:$AC$1,cleanprovinces!$C$2:$AC$78,"no",0,1))</f>
        <v>509968</v>
      </c>
      <c r="I114" s="4">
        <f t="shared" si="4"/>
        <v>509968000000</v>
      </c>
      <c r="J114" s="3" cm="1">
        <f t="array" ref="J114">_xlfn.XLOOKUP(D114,[3]Sheet1!$B$2:$B$78,_xlfn.XLOOKUP(E114,[3]Sheet1!$C$1:$AC$1,[3]Sheet1!$C$2:$AC$78))</f>
        <v>1675</v>
      </c>
      <c r="K114" s="3">
        <f t="shared" si="3"/>
        <v>1675000</v>
      </c>
      <c r="L114" s="3">
        <f t="shared" si="5"/>
        <v>304458.50746268657</v>
      </c>
      <c r="M114" s="10">
        <v>101.20228578895301</v>
      </c>
      <c r="N114" s="10">
        <v>13.1903144562864</v>
      </c>
    </row>
    <row r="115" spans="1:14" hidden="1" x14ac:dyDescent="0.3">
      <c r="A115" s="5">
        <v>64</v>
      </c>
      <c r="B115" s="5" t="str">
        <f>_xlfn.XLOOKUP(D115,'[1]Viirs77-Sol'!$C$2:$C$694,'[1]Viirs77-Sol'!$A$2:$A$694)</f>
        <v>TH-20</v>
      </c>
      <c r="C115" s="5" t="str">
        <f>_xlfn.XLOOKUP(D115,cleanprovinces!$B:$B,cleanprovinces!$A:$A)</f>
        <v>EA</v>
      </c>
      <c r="D115" s="5" t="s">
        <v>81</v>
      </c>
      <c r="E115" s="6">
        <v>2015</v>
      </c>
      <c r="F115" s="7" cm="1">
        <f t="array" ref="F115">_xlfn.XLOOKUP(D115&amp;E115,'[1]Viirs77-Sol'!$C$2:$C$694&amp;'[1]Viirs77-Sol'!$D$2:$D$694,'[1]Viirs77-Sol'!$E$2:$E$694)</f>
        <v>96072.646009999997</v>
      </c>
      <c r="G115" s="7" cm="1">
        <f t="array" ref="G115">_xlfn.XLOOKUP(B115&amp;E115,'[2]Viirs77-Mean'!$A$2:$A$694&amp;'[2]Viirs77-Mean'!$D$2:$D$694,'[2]Viirs77-Mean'!$E$2:$E$694)</f>
        <v>4.566412541</v>
      </c>
      <c r="H115" s="9" cm="1">
        <f t="array" ref="H115">_xlfn.XLOOKUP(D115,cleanprovinces!$B$2:$B$78,_xlfn.XLOOKUP(panel!E115,cleanprovinces!$C$1:$AC$1,cleanprovinces!$C$2:$AC$78,"no",0,1))</f>
        <v>532759</v>
      </c>
      <c r="I115" s="4">
        <f t="shared" si="4"/>
        <v>532759000000</v>
      </c>
      <c r="J115" s="3" cm="1">
        <f t="array" ref="J115">_xlfn.XLOOKUP(D115,[3]Sheet1!$B$2:$B$78,_xlfn.XLOOKUP(E115,[3]Sheet1!$C$1:$AC$1,[3]Sheet1!$C$2:$AC$78))</f>
        <v>1706</v>
      </c>
      <c r="K115" s="3">
        <f t="shared" si="3"/>
        <v>1706000</v>
      </c>
      <c r="L115" s="3">
        <f t="shared" si="5"/>
        <v>312285.46307151229</v>
      </c>
      <c r="M115" s="10">
        <v>101.20228578895301</v>
      </c>
      <c r="N115" s="10">
        <v>13.1903144562864</v>
      </c>
    </row>
    <row r="116" spans="1:14" hidden="1" x14ac:dyDescent="0.3">
      <c r="A116" s="5">
        <v>64</v>
      </c>
      <c r="B116" s="5" t="str">
        <f>_xlfn.XLOOKUP(D116,'[1]Viirs77-Sol'!$C$2:$C$694,'[1]Viirs77-Sol'!$A$2:$A$694)</f>
        <v>TH-20</v>
      </c>
      <c r="C116" s="5" t="str">
        <f>_xlfn.XLOOKUP(D116,cleanprovinces!$B:$B,cleanprovinces!$A:$A)</f>
        <v>EA</v>
      </c>
      <c r="D116" s="5" t="s">
        <v>81</v>
      </c>
      <c r="E116" s="6">
        <v>2016</v>
      </c>
      <c r="F116" s="7" cm="1">
        <f t="array" ref="F116">_xlfn.XLOOKUP(D116&amp;E116,'[1]Viirs77-Sol'!$C$2:$C$694&amp;'[1]Viirs77-Sol'!$D$2:$D$694,'[1]Viirs77-Sol'!$E$2:$E$694)</f>
        <v>102715.41499999999</v>
      </c>
      <c r="G116" s="7" cm="1">
        <f t="array" ref="G116">_xlfn.XLOOKUP(B116&amp;E116,'[2]Viirs77-Mean'!$A$2:$A$694&amp;'[2]Viirs77-Mean'!$D$2:$D$694,'[2]Viirs77-Mean'!$E$2:$E$694)</f>
        <v>4.8821488610000001</v>
      </c>
      <c r="H116" s="9" cm="1">
        <f t="array" ref="H116">_xlfn.XLOOKUP(D116,cleanprovinces!$B$2:$B$78,_xlfn.XLOOKUP(panel!E116,cleanprovinces!$C$1:$AC$1,cleanprovinces!$C$2:$AC$78,"no",0,1))</f>
        <v>565535</v>
      </c>
      <c r="I116" s="4">
        <f t="shared" si="4"/>
        <v>565535000000</v>
      </c>
      <c r="J116" s="3" cm="1">
        <f t="array" ref="J116">_xlfn.XLOOKUP(D116,[3]Sheet1!$B$2:$B$78,_xlfn.XLOOKUP(E116,[3]Sheet1!$C$1:$AC$1,[3]Sheet1!$C$2:$AC$78))</f>
        <v>1735</v>
      </c>
      <c r="K116" s="3">
        <f t="shared" si="3"/>
        <v>1735000</v>
      </c>
      <c r="L116" s="3">
        <f t="shared" si="5"/>
        <v>325956.77233429393</v>
      </c>
      <c r="M116" s="10">
        <v>101.20228578895301</v>
      </c>
      <c r="N116" s="10">
        <v>13.1903144562864</v>
      </c>
    </row>
    <row r="117" spans="1:14" hidden="1" x14ac:dyDescent="0.3">
      <c r="A117" s="5">
        <v>64</v>
      </c>
      <c r="B117" s="5" t="str">
        <f>_xlfn.XLOOKUP(D117,'[1]Viirs77-Sol'!$C$2:$C$694,'[1]Viirs77-Sol'!$A$2:$A$694)</f>
        <v>TH-20</v>
      </c>
      <c r="C117" s="5" t="str">
        <f>_xlfn.XLOOKUP(D117,cleanprovinces!$B:$B,cleanprovinces!$A:$A)</f>
        <v>EA</v>
      </c>
      <c r="D117" s="5" t="s">
        <v>81</v>
      </c>
      <c r="E117" s="6">
        <v>2017</v>
      </c>
      <c r="F117" s="7" cm="1">
        <f t="array" ref="F117">_xlfn.XLOOKUP(D117&amp;E117,'[1]Viirs77-Sol'!$C$2:$C$694&amp;'[1]Viirs77-Sol'!$D$2:$D$694,'[1]Viirs77-Sol'!$E$2:$E$694)</f>
        <v>111268.0068</v>
      </c>
      <c r="G117" s="7" cm="1">
        <f t="array" ref="G117">_xlfn.XLOOKUP(B117&amp;E117,'[2]Viirs77-Mean'!$A$2:$A$694&amp;'[2]Viirs77-Mean'!$D$2:$D$694,'[2]Viirs77-Mean'!$E$2:$E$694)</f>
        <v>5.2886606430000001</v>
      </c>
      <c r="H117" s="9" cm="1">
        <f t="array" ref="H117">_xlfn.XLOOKUP(D117,cleanprovinces!$B$2:$B$78,_xlfn.XLOOKUP(panel!E117,cleanprovinces!$C$1:$AC$1,cleanprovinces!$C$2:$AC$78,"no",0,1))</f>
        <v>578224</v>
      </c>
      <c r="I117" s="4">
        <f t="shared" si="4"/>
        <v>578224000000</v>
      </c>
      <c r="J117" s="3" cm="1">
        <f t="array" ref="J117">_xlfn.XLOOKUP(D117,[3]Sheet1!$B$2:$B$78,_xlfn.XLOOKUP(E117,[3]Sheet1!$C$1:$AC$1,[3]Sheet1!$C$2:$AC$78))</f>
        <v>1782</v>
      </c>
      <c r="K117" s="3">
        <f t="shared" si="3"/>
        <v>1782000</v>
      </c>
      <c r="L117" s="3">
        <f t="shared" si="5"/>
        <v>324480.3591470258</v>
      </c>
      <c r="M117" s="10">
        <v>101.20228578895301</v>
      </c>
      <c r="N117" s="10">
        <v>13.1903144562864</v>
      </c>
    </row>
    <row r="118" spans="1:14" hidden="1" x14ac:dyDescent="0.3">
      <c r="A118" s="5">
        <v>64</v>
      </c>
      <c r="B118" s="5" t="str">
        <f>_xlfn.XLOOKUP(D118,'[1]Viirs77-Sol'!$C$2:$C$694,'[1]Viirs77-Sol'!$A$2:$A$694)</f>
        <v>TH-20</v>
      </c>
      <c r="C118" s="5" t="str">
        <f>_xlfn.XLOOKUP(D118,cleanprovinces!$B:$B,cleanprovinces!$A:$A)</f>
        <v>EA</v>
      </c>
      <c r="D118" s="5" t="s">
        <v>81</v>
      </c>
      <c r="E118" s="6">
        <v>2018</v>
      </c>
      <c r="F118" s="7" cm="1">
        <f t="array" ref="F118">_xlfn.XLOOKUP(D118&amp;E118,'[1]Viirs77-Sol'!$C$2:$C$694&amp;'[1]Viirs77-Sol'!$D$2:$D$694,'[1]Viirs77-Sol'!$E$2:$E$694)</f>
        <v>114312.4053</v>
      </c>
      <c r="G118" s="7" cm="1">
        <f t="array" ref="G118">_xlfn.XLOOKUP(B118&amp;E118,'[2]Viirs77-Mean'!$A$2:$A$694&amp;'[2]Viirs77-Mean'!$D$2:$D$694,'[2]Viirs77-Mean'!$E$2:$E$694)</f>
        <v>5.4333634259999997</v>
      </c>
      <c r="H118" s="9" cm="1">
        <f t="array" ref="H118">_xlfn.XLOOKUP(D118,cleanprovinces!$B$2:$B$78,_xlfn.XLOOKUP(panel!E118,cleanprovinces!$C$1:$AC$1,cleanprovinces!$C$2:$AC$78,"no",0,1))</f>
        <v>590360</v>
      </c>
      <c r="I118" s="4">
        <f t="shared" si="4"/>
        <v>590360000000</v>
      </c>
      <c r="J118" s="3" cm="1">
        <f t="array" ref="J118">_xlfn.XLOOKUP(D118,[3]Sheet1!$B$2:$B$78,_xlfn.XLOOKUP(E118,[3]Sheet1!$C$1:$AC$1,[3]Sheet1!$C$2:$AC$78))</f>
        <v>1819</v>
      </c>
      <c r="K118" s="3">
        <f t="shared" si="3"/>
        <v>1819000</v>
      </c>
      <c r="L118" s="3">
        <f t="shared" si="5"/>
        <v>324551.95162177022</v>
      </c>
      <c r="M118" s="10">
        <v>101.20228578895301</v>
      </c>
      <c r="N118" s="10">
        <v>13.1903144562864</v>
      </c>
    </row>
    <row r="119" spans="1:14" hidden="1" x14ac:dyDescent="0.3">
      <c r="A119" s="5">
        <v>64</v>
      </c>
      <c r="B119" s="5" t="str">
        <f>_xlfn.XLOOKUP(D119,'[1]Viirs77-Sol'!$C$2:$C$694,'[1]Viirs77-Sol'!$A$2:$A$694)</f>
        <v>TH-20</v>
      </c>
      <c r="C119" s="5" t="str">
        <f>_xlfn.XLOOKUP(D119,cleanprovinces!$B:$B,cleanprovinces!$A:$A)</f>
        <v>EA</v>
      </c>
      <c r="D119" s="5" t="s">
        <v>81</v>
      </c>
      <c r="E119" s="6">
        <v>2019</v>
      </c>
      <c r="F119" s="7" cm="1">
        <f t="array" ref="F119">_xlfn.XLOOKUP(D119&amp;E119,'[1]Viirs77-Sol'!$C$2:$C$694&amp;'[1]Viirs77-Sol'!$D$2:$D$694,'[1]Viirs77-Sol'!$E$2:$E$694)</f>
        <v>120140.0043</v>
      </c>
      <c r="G119" s="7" cm="1">
        <f t="array" ref="G119">_xlfn.XLOOKUP(B119&amp;E119,'[2]Viirs77-Mean'!$A$2:$A$694&amp;'[2]Viirs77-Mean'!$D$2:$D$694,'[2]Viirs77-Mean'!$E$2:$E$694)</f>
        <v>5.7103540419999996</v>
      </c>
      <c r="H119" s="9" cm="1">
        <f t="array" ref="H119">_xlfn.XLOOKUP(D119,cleanprovinces!$B$2:$B$78,_xlfn.XLOOKUP(panel!E119,cleanprovinces!$C$1:$AC$1,cleanprovinces!$C$2:$AC$78,"no",0,1))</f>
        <v>602900</v>
      </c>
      <c r="I119" s="4">
        <f t="shared" si="4"/>
        <v>602900000000</v>
      </c>
      <c r="J119" s="3" cm="1">
        <f t="array" ref="J119">_xlfn.XLOOKUP(D119,[3]Sheet1!$B$2:$B$78,_xlfn.XLOOKUP(E119,[3]Sheet1!$C$1:$AC$1,[3]Sheet1!$C$2:$AC$78))</f>
        <v>1855</v>
      </c>
      <c r="K119" s="3">
        <f t="shared" si="3"/>
        <v>1855000</v>
      </c>
      <c r="L119" s="3">
        <f t="shared" si="5"/>
        <v>325013.47708894877</v>
      </c>
      <c r="M119" s="10">
        <v>101.20228578895301</v>
      </c>
      <c r="N119" s="10">
        <v>13.1903144562864</v>
      </c>
    </row>
    <row r="120" spans="1:14" hidden="1" x14ac:dyDescent="0.3">
      <c r="A120" s="5">
        <v>64</v>
      </c>
      <c r="B120" s="5" t="str">
        <f>_xlfn.XLOOKUP(D120,'[1]Viirs77-Sol'!$C$2:$C$694,'[1]Viirs77-Sol'!$A$2:$A$694)</f>
        <v>TH-20</v>
      </c>
      <c r="C120" s="5" t="str">
        <f>_xlfn.XLOOKUP(D120,cleanprovinces!$B:$B,cleanprovinces!$A:$A)</f>
        <v>EA</v>
      </c>
      <c r="D120" s="5" t="s">
        <v>81</v>
      </c>
      <c r="E120" s="6">
        <v>2020</v>
      </c>
      <c r="F120" s="7" cm="1">
        <f t="array" ref="F120">_xlfn.XLOOKUP(D120&amp;E120,'[1]Viirs77-Sol'!$C$2:$C$694&amp;'[1]Viirs77-Sol'!$D$2:$D$694,'[1]Viirs77-Sol'!$E$2:$E$694)</f>
        <v>125814.02370000001</v>
      </c>
      <c r="G120" s="7" cm="1">
        <f t="array" ref="G120">_xlfn.XLOOKUP(B120&amp;E120,'[2]Viirs77-Mean'!$A$2:$A$694&amp;'[2]Viirs77-Mean'!$D$2:$D$694,'[2]Viirs77-Mean'!$E$2:$E$694)</f>
        <v>5.9800448900000003</v>
      </c>
      <c r="H120" s="9" cm="1">
        <f t="array" ref="H120">_xlfn.XLOOKUP(D120,cleanprovinces!$B$2:$B$78,_xlfn.XLOOKUP(panel!E120,cleanprovinces!$C$1:$AC$1,cleanprovinces!$C$2:$AC$78,"no",0,1))</f>
        <v>561980</v>
      </c>
      <c r="I120" s="4">
        <f t="shared" si="4"/>
        <v>561980000000</v>
      </c>
      <c r="J120" s="3" cm="1">
        <f t="array" ref="J120">_xlfn.XLOOKUP(D120,[3]Sheet1!$B$2:$B$78,_xlfn.XLOOKUP(E120,[3]Sheet1!$C$1:$AC$1,[3]Sheet1!$C$2:$AC$78))</f>
        <v>1891</v>
      </c>
      <c r="K120" s="3">
        <f t="shared" si="3"/>
        <v>1891000</v>
      </c>
      <c r="L120" s="3">
        <f t="shared" si="5"/>
        <v>297186.67371760972</v>
      </c>
      <c r="M120" s="10">
        <v>101.20228578895301</v>
      </c>
      <c r="N120" s="10">
        <v>13.1903144562864</v>
      </c>
    </row>
    <row r="121" spans="1:14" hidden="1" x14ac:dyDescent="0.3">
      <c r="A121" s="5">
        <v>64</v>
      </c>
      <c r="B121" s="5" t="str">
        <f>_xlfn.XLOOKUP(D121,'[1]Viirs77-Sol'!$C$2:$C$694,'[1]Viirs77-Sol'!$A$2:$A$694)</f>
        <v>TH-20</v>
      </c>
      <c r="C121" s="5" t="str">
        <f>_xlfn.XLOOKUP(D121,cleanprovinces!$B:$B,cleanprovinces!$A:$A)</f>
        <v>EA</v>
      </c>
      <c r="D121" s="5" t="s">
        <v>81</v>
      </c>
      <c r="E121" s="6">
        <v>2021</v>
      </c>
      <c r="F121" s="7" cm="1">
        <f t="array" ref="F121">_xlfn.XLOOKUP(D121&amp;E121,'[1]Viirs77-Sol'!$C$2:$C$694&amp;'[1]Viirs77-Sol'!$D$2:$D$694,'[1]Viirs77-Sol'!$E$2:$E$694)</f>
        <v>139789.06959999999</v>
      </c>
      <c r="G121" s="7" cm="1">
        <f t="array" ref="G121">_xlfn.XLOOKUP(B121&amp;E121,'[2]Viirs77-Mean'!$A$2:$A$694&amp;'[2]Viirs77-Mean'!$D$2:$D$694,'[2]Viirs77-Mean'!$E$2:$E$694)</f>
        <v>6.6442904079999998</v>
      </c>
      <c r="H121" s="9" cm="1">
        <f t="array" ref="H121">_xlfn.XLOOKUP(D121,cleanprovinces!$B$2:$B$78,_xlfn.XLOOKUP(panel!E121,cleanprovinces!$C$1:$AC$1,cleanprovinces!$C$2:$AC$78,"no",0,1))</f>
        <v>600858</v>
      </c>
      <c r="I121" s="4">
        <f t="shared" si="4"/>
        <v>600858000000</v>
      </c>
      <c r="J121" s="3" cm="1">
        <f t="array" ref="J121">_xlfn.XLOOKUP(D121,[3]Sheet1!$B$2:$B$78,_xlfn.XLOOKUP(E121,[3]Sheet1!$C$1:$AC$1,[3]Sheet1!$C$2:$AC$78))</f>
        <v>1926</v>
      </c>
      <c r="K121" s="3">
        <f t="shared" si="3"/>
        <v>1926000</v>
      </c>
      <c r="L121" s="3">
        <f t="shared" si="5"/>
        <v>311971.96261682245</v>
      </c>
      <c r="M121" s="10">
        <v>101.20228578895301</v>
      </c>
      <c r="N121" s="10">
        <v>13.1903144562864</v>
      </c>
    </row>
    <row r="122" spans="1:14" hidden="1" x14ac:dyDescent="0.3">
      <c r="A122" s="5">
        <v>60</v>
      </c>
      <c r="B122" s="5" t="str">
        <f>_xlfn.XLOOKUP(D122,'[1]Viirs77-Sol'!$C$2:$C$694,'[1]Viirs77-Sol'!$A$2:$A$694)</f>
        <v>TH-26</v>
      </c>
      <c r="C122" s="5" t="str">
        <f>_xlfn.XLOOKUP(D122,cleanprovinces!$B:$B,cleanprovinces!$A:$A)</f>
        <v>EA</v>
      </c>
      <c r="D122" s="5" t="s">
        <v>86</v>
      </c>
      <c r="E122" s="6">
        <v>2014</v>
      </c>
      <c r="F122" s="7" cm="1">
        <f t="array" ref="F122">_xlfn.XLOOKUP(D122&amp;E122,'[1]Viirs77-Sol'!$C$2:$C$694&amp;'[1]Viirs77-Sol'!$D$2:$D$694,'[1]Viirs77-Sol'!$E$2:$E$694)</f>
        <v>5955.1095880000003</v>
      </c>
      <c r="G122" s="7" cm="1">
        <f t="array" ref="G122">_xlfn.XLOOKUP(B122&amp;E122,'[2]Viirs77-Mean'!$A$2:$A$694&amp;'[2]Viirs77-Mean'!$D$2:$D$694,'[2]Viirs77-Mean'!$E$2:$E$694)</f>
        <v>0.56547050499999996</v>
      </c>
      <c r="H122" s="9" cm="1">
        <f t="array" ref="H122">_xlfn.XLOOKUP(D122,cleanprovinces!$B$2:$B$78,_xlfn.XLOOKUP(panel!E122,cleanprovinces!$C$1:$AC$1,cleanprovinces!$C$2:$AC$78,"no",0,1))</f>
        <v>14893</v>
      </c>
      <c r="I122" s="4">
        <f t="shared" si="4"/>
        <v>14893000000</v>
      </c>
      <c r="J122" s="3" cm="1">
        <f t="array" ref="J122">_xlfn.XLOOKUP(D122,[3]Sheet1!$B$2:$B$78,_xlfn.XLOOKUP(E122,[3]Sheet1!$C$1:$AC$1,[3]Sheet1!$C$2:$AC$78))</f>
        <v>254</v>
      </c>
      <c r="K122" s="3">
        <f t="shared" si="3"/>
        <v>254000</v>
      </c>
      <c r="L122" s="3">
        <f t="shared" si="5"/>
        <v>58633.858267716532</v>
      </c>
      <c r="M122" s="10">
        <v>101.175395810754</v>
      </c>
      <c r="N122" s="10">
        <v>14.217185753861701</v>
      </c>
    </row>
    <row r="123" spans="1:14" hidden="1" x14ac:dyDescent="0.3">
      <c r="A123" s="5">
        <v>60</v>
      </c>
      <c r="B123" s="5" t="str">
        <f>_xlfn.XLOOKUP(D123,'[1]Viirs77-Sol'!$C$2:$C$694,'[1]Viirs77-Sol'!$A$2:$A$694)</f>
        <v>TH-26</v>
      </c>
      <c r="C123" s="5" t="str">
        <f>_xlfn.XLOOKUP(D123,cleanprovinces!$B:$B,cleanprovinces!$A:$A)</f>
        <v>EA</v>
      </c>
      <c r="D123" s="5" t="s">
        <v>86</v>
      </c>
      <c r="E123" s="6">
        <v>2015</v>
      </c>
      <c r="F123" s="7" cm="1">
        <f t="array" ref="F123">_xlfn.XLOOKUP(D123&amp;E123,'[1]Viirs77-Sol'!$C$2:$C$694&amp;'[1]Viirs77-Sol'!$D$2:$D$694,'[1]Viirs77-Sol'!$E$2:$E$694)</f>
        <v>7066.7579379999997</v>
      </c>
      <c r="G123" s="7" cm="1">
        <f t="array" ref="G123">_xlfn.XLOOKUP(B123&amp;E123,'[2]Viirs77-Mean'!$A$2:$A$694&amp;'[2]Viirs77-Mean'!$D$2:$D$694,'[2]Viirs77-Mean'!$E$2:$E$694)</f>
        <v>0.67102764699999995</v>
      </c>
      <c r="H123" s="9" cm="1">
        <f t="array" ref="H123">_xlfn.XLOOKUP(D123,cleanprovinces!$B$2:$B$78,_xlfn.XLOOKUP(panel!E123,cleanprovinces!$C$1:$AC$1,cleanprovinces!$C$2:$AC$78,"no",0,1))</f>
        <v>15328</v>
      </c>
      <c r="I123" s="4">
        <f t="shared" si="4"/>
        <v>15328000000</v>
      </c>
      <c r="J123" s="3" cm="1">
        <f t="array" ref="J123">_xlfn.XLOOKUP(D123,[3]Sheet1!$B$2:$B$78,_xlfn.XLOOKUP(E123,[3]Sheet1!$C$1:$AC$1,[3]Sheet1!$C$2:$AC$78))</f>
        <v>256</v>
      </c>
      <c r="K123" s="3">
        <f t="shared" si="3"/>
        <v>256000</v>
      </c>
      <c r="L123" s="3">
        <f t="shared" si="5"/>
        <v>59875</v>
      </c>
      <c r="M123" s="10">
        <v>101.175395810754</v>
      </c>
      <c r="N123" s="10">
        <v>14.217185753861701</v>
      </c>
    </row>
    <row r="124" spans="1:14" hidden="1" x14ac:dyDescent="0.3">
      <c r="A124" s="5">
        <v>60</v>
      </c>
      <c r="B124" s="5" t="str">
        <f>_xlfn.XLOOKUP(D124,'[1]Viirs77-Sol'!$C$2:$C$694,'[1]Viirs77-Sol'!$A$2:$A$694)</f>
        <v>TH-26</v>
      </c>
      <c r="C124" s="5" t="str">
        <f>_xlfn.XLOOKUP(D124,cleanprovinces!$B:$B,cleanprovinces!$A:$A)</f>
        <v>EA</v>
      </c>
      <c r="D124" s="5" t="s">
        <v>86</v>
      </c>
      <c r="E124" s="6">
        <v>2016</v>
      </c>
      <c r="F124" s="7" cm="1">
        <f t="array" ref="F124">_xlfn.XLOOKUP(D124&amp;E124,'[1]Viirs77-Sol'!$C$2:$C$694&amp;'[1]Viirs77-Sol'!$D$2:$D$694,'[1]Viirs77-Sol'!$E$2:$E$694)</f>
        <v>7585.0816969999996</v>
      </c>
      <c r="G124" s="7" cm="1">
        <f t="array" ref="G124">_xlfn.XLOOKUP(B124&amp;E124,'[2]Viirs77-Mean'!$A$2:$A$694&amp;'[2]Viirs77-Mean'!$D$2:$D$694,'[2]Viirs77-Mean'!$E$2:$E$694)</f>
        <v>0.72024534699999998</v>
      </c>
      <c r="H124" s="9" cm="1">
        <f t="array" ref="H124">_xlfn.XLOOKUP(D124,cleanprovinces!$B$2:$B$78,_xlfn.XLOOKUP(panel!E124,cleanprovinces!$C$1:$AC$1,cleanprovinces!$C$2:$AC$78,"no",0,1))</f>
        <v>15732</v>
      </c>
      <c r="I124" s="4">
        <f t="shared" si="4"/>
        <v>15732000000</v>
      </c>
      <c r="J124" s="3" cm="1">
        <f t="array" ref="J124">_xlfn.XLOOKUP(D124,[3]Sheet1!$B$2:$B$78,_xlfn.XLOOKUP(E124,[3]Sheet1!$C$1:$AC$1,[3]Sheet1!$C$2:$AC$78))</f>
        <v>256</v>
      </c>
      <c r="K124" s="3">
        <f t="shared" si="3"/>
        <v>256000</v>
      </c>
      <c r="L124" s="3">
        <f t="shared" si="5"/>
        <v>61453.125</v>
      </c>
      <c r="M124" s="10">
        <v>101.175395810754</v>
      </c>
      <c r="N124" s="10">
        <v>14.217185753861701</v>
      </c>
    </row>
    <row r="125" spans="1:14" hidden="1" x14ac:dyDescent="0.3">
      <c r="A125" s="5">
        <v>60</v>
      </c>
      <c r="B125" s="5" t="str">
        <f>_xlfn.XLOOKUP(D125,'[1]Viirs77-Sol'!$C$2:$C$694,'[1]Viirs77-Sol'!$A$2:$A$694)</f>
        <v>TH-26</v>
      </c>
      <c r="C125" s="5" t="str">
        <f>_xlfn.XLOOKUP(D125,cleanprovinces!$B:$B,cleanprovinces!$A:$A)</f>
        <v>EA</v>
      </c>
      <c r="D125" s="5" t="s">
        <v>86</v>
      </c>
      <c r="E125" s="6">
        <v>2017</v>
      </c>
      <c r="F125" s="7" cm="1">
        <f t="array" ref="F125">_xlfn.XLOOKUP(D125&amp;E125,'[1]Viirs77-Sol'!$C$2:$C$694&amp;'[1]Viirs77-Sol'!$D$2:$D$694,'[1]Viirs77-Sol'!$E$2:$E$694)</f>
        <v>9685.3677380000008</v>
      </c>
      <c r="G125" s="7" cm="1">
        <f t="array" ref="G125">_xlfn.XLOOKUP(B125&amp;E125,'[2]Viirs77-Mean'!$A$2:$A$694&amp;'[2]Viirs77-Mean'!$D$2:$D$694,'[2]Viirs77-Mean'!$E$2:$E$694)</f>
        <v>0.91967909299999995</v>
      </c>
      <c r="H125" s="9" cm="1">
        <f t="array" ref="H125">_xlfn.XLOOKUP(D125,cleanprovinces!$B$2:$B$78,_xlfn.XLOOKUP(panel!E125,cleanprovinces!$C$1:$AC$1,cleanprovinces!$C$2:$AC$78,"no",0,1))</f>
        <v>16219</v>
      </c>
      <c r="I125" s="4">
        <f t="shared" si="4"/>
        <v>16219000000</v>
      </c>
      <c r="J125" s="3" cm="1">
        <f t="array" ref="J125">_xlfn.XLOOKUP(D125,[3]Sheet1!$B$2:$B$78,_xlfn.XLOOKUP(E125,[3]Sheet1!$C$1:$AC$1,[3]Sheet1!$C$2:$AC$78))</f>
        <v>258</v>
      </c>
      <c r="K125" s="3">
        <f t="shared" si="3"/>
        <v>258000</v>
      </c>
      <c r="L125" s="3">
        <f t="shared" si="5"/>
        <v>62864.34108527132</v>
      </c>
      <c r="M125" s="10">
        <v>101.175395810754</v>
      </c>
      <c r="N125" s="10">
        <v>14.217185753861701</v>
      </c>
    </row>
    <row r="126" spans="1:14" hidden="1" x14ac:dyDescent="0.3">
      <c r="A126" s="5">
        <v>60</v>
      </c>
      <c r="B126" s="5" t="str">
        <f>_xlfn.XLOOKUP(D126,'[1]Viirs77-Sol'!$C$2:$C$694,'[1]Viirs77-Sol'!$A$2:$A$694)</f>
        <v>TH-26</v>
      </c>
      <c r="C126" s="5" t="str">
        <f>_xlfn.XLOOKUP(D126,cleanprovinces!$B:$B,cleanprovinces!$A:$A)</f>
        <v>EA</v>
      </c>
      <c r="D126" s="5" t="s">
        <v>86</v>
      </c>
      <c r="E126" s="6">
        <v>2018</v>
      </c>
      <c r="F126" s="7" cm="1">
        <f t="array" ref="F126">_xlfn.XLOOKUP(D126&amp;E126,'[1]Viirs77-Sol'!$C$2:$C$694&amp;'[1]Viirs77-Sol'!$D$2:$D$694,'[1]Viirs77-Sol'!$E$2:$E$694)</f>
        <v>10011.46933</v>
      </c>
      <c r="G126" s="7" cm="1">
        <f t="array" ref="G126">_xlfn.XLOOKUP(B126&amp;E126,'[2]Viirs77-Mean'!$A$2:$A$694&amp;'[2]Viirs77-Mean'!$D$2:$D$694,'[2]Viirs77-Mean'!$E$2:$E$694)</f>
        <v>0.950644237</v>
      </c>
      <c r="H126" s="9" cm="1">
        <f t="array" ref="H126">_xlfn.XLOOKUP(D126,cleanprovinces!$B$2:$B$78,_xlfn.XLOOKUP(panel!E126,cleanprovinces!$C$1:$AC$1,cleanprovinces!$C$2:$AC$78,"no",0,1))</f>
        <v>18072</v>
      </c>
      <c r="I126" s="4">
        <f t="shared" si="4"/>
        <v>18072000000</v>
      </c>
      <c r="J126" s="3" cm="1">
        <f t="array" ref="J126">_xlfn.XLOOKUP(D126,[3]Sheet1!$B$2:$B$78,_xlfn.XLOOKUP(E126,[3]Sheet1!$C$1:$AC$1,[3]Sheet1!$C$2:$AC$78))</f>
        <v>259</v>
      </c>
      <c r="K126" s="3">
        <f t="shared" si="3"/>
        <v>259000</v>
      </c>
      <c r="L126" s="3">
        <f t="shared" si="5"/>
        <v>69776.061776061775</v>
      </c>
      <c r="M126" s="10">
        <v>101.175395810754</v>
      </c>
      <c r="N126" s="10">
        <v>14.217185753861701</v>
      </c>
    </row>
    <row r="127" spans="1:14" hidden="1" x14ac:dyDescent="0.3">
      <c r="A127" s="5">
        <v>60</v>
      </c>
      <c r="B127" s="5" t="str">
        <f>_xlfn.XLOOKUP(D127,'[1]Viirs77-Sol'!$C$2:$C$694,'[1]Viirs77-Sol'!$A$2:$A$694)</f>
        <v>TH-26</v>
      </c>
      <c r="C127" s="5" t="str">
        <f>_xlfn.XLOOKUP(D127,cleanprovinces!$B:$B,cleanprovinces!$A:$A)</f>
        <v>EA</v>
      </c>
      <c r="D127" s="5" t="s">
        <v>86</v>
      </c>
      <c r="E127" s="6">
        <v>2019</v>
      </c>
      <c r="F127" s="7" cm="1">
        <f t="array" ref="F127">_xlfn.XLOOKUP(D127&amp;E127,'[1]Viirs77-Sol'!$C$2:$C$694&amp;'[1]Viirs77-Sol'!$D$2:$D$694,'[1]Viirs77-Sol'!$E$2:$E$694)</f>
        <v>10760.118189999999</v>
      </c>
      <c r="G127" s="7" cm="1">
        <f t="array" ref="G127">_xlfn.XLOOKUP(B127&amp;E127,'[2]Viirs77-Mean'!$A$2:$A$694&amp;'[2]Viirs77-Mean'!$D$2:$D$694,'[2]Viirs77-Mean'!$E$2:$E$694)</f>
        <v>1.021732576</v>
      </c>
      <c r="H127" s="9" cm="1">
        <f t="array" ref="H127">_xlfn.XLOOKUP(D127,cleanprovinces!$B$2:$B$78,_xlfn.XLOOKUP(panel!E127,cleanprovinces!$C$1:$AC$1,cleanprovinces!$C$2:$AC$78,"no",0,1))</f>
        <v>18302</v>
      </c>
      <c r="I127" s="4">
        <f t="shared" si="4"/>
        <v>18302000000</v>
      </c>
      <c r="J127" s="3" cm="1">
        <f t="array" ref="J127">_xlfn.XLOOKUP(D127,[3]Sheet1!$B$2:$B$78,_xlfn.XLOOKUP(E127,[3]Sheet1!$C$1:$AC$1,[3]Sheet1!$C$2:$AC$78))</f>
        <v>260</v>
      </c>
      <c r="K127" s="3">
        <f t="shared" si="3"/>
        <v>260000</v>
      </c>
      <c r="L127" s="3">
        <f t="shared" si="5"/>
        <v>70392.307692307688</v>
      </c>
      <c r="M127" s="10">
        <v>101.175395810754</v>
      </c>
      <c r="N127" s="10">
        <v>14.217185753861701</v>
      </c>
    </row>
    <row r="128" spans="1:14" hidden="1" x14ac:dyDescent="0.3">
      <c r="A128" s="5">
        <v>60</v>
      </c>
      <c r="B128" s="5" t="str">
        <f>_xlfn.XLOOKUP(D128,'[1]Viirs77-Sol'!$C$2:$C$694,'[1]Viirs77-Sol'!$A$2:$A$694)</f>
        <v>TH-26</v>
      </c>
      <c r="C128" s="5" t="str">
        <f>_xlfn.XLOOKUP(D128,cleanprovinces!$B:$B,cleanprovinces!$A:$A)</f>
        <v>EA</v>
      </c>
      <c r="D128" s="5" t="s">
        <v>86</v>
      </c>
      <c r="E128" s="6">
        <v>2020</v>
      </c>
      <c r="F128" s="7" cm="1">
        <f t="array" ref="F128">_xlfn.XLOOKUP(D128&amp;E128,'[1]Viirs77-Sol'!$C$2:$C$694&amp;'[1]Viirs77-Sol'!$D$2:$D$694,'[1]Viirs77-Sol'!$E$2:$E$694)</f>
        <v>11958.23395</v>
      </c>
      <c r="G128" s="7" cm="1">
        <f t="array" ref="G128">_xlfn.XLOOKUP(B128&amp;E128,'[2]Viirs77-Mean'!$A$2:$A$694&amp;'[2]Viirs77-Mean'!$D$2:$D$694,'[2]Viirs77-Mean'!$E$2:$E$694)</f>
        <v>1.135500277</v>
      </c>
      <c r="H128" s="9" cm="1">
        <f t="array" ref="H128">_xlfn.XLOOKUP(D128,cleanprovinces!$B$2:$B$78,_xlfn.XLOOKUP(panel!E128,cleanprovinces!$C$1:$AC$1,cleanprovinces!$C$2:$AC$78,"no",0,1))</f>
        <v>18587</v>
      </c>
      <c r="I128" s="4">
        <f t="shared" si="4"/>
        <v>18587000000</v>
      </c>
      <c r="J128" s="3" cm="1">
        <f t="array" ref="J128">_xlfn.XLOOKUP(D128,[3]Sheet1!$B$2:$B$78,_xlfn.XLOOKUP(E128,[3]Sheet1!$C$1:$AC$1,[3]Sheet1!$C$2:$AC$78))</f>
        <v>261</v>
      </c>
      <c r="K128" s="3">
        <f t="shared" si="3"/>
        <v>261000</v>
      </c>
      <c r="L128" s="3">
        <f t="shared" si="5"/>
        <v>71214.559386973182</v>
      </c>
      <c r="M128" s="10">
        <v>101.175395810754</v>
      </c>
      <c r="N128" s="10">
        <v>14.217185753861701</v>
      </c>
    </row>
    <row r="129" spans="1:14" hidden="1" x14ac:dyDescent="0.3">
      <c r="A129" s="5">
        <v>60</v>
      </c>
      <c r="B129" s="5" t="str">
        <f>_xlfn.XLOOKUP(D129,'[1]Viirs77-Sol'!$C$2:$C$694,'[1]Viirs77-Sol'!$A$2:$A$694)</f>
        <v>TH-26</v>
      </c>
      <c r="C129" s="5" t="str">
        <f>_xlfn.XLOOKUP(D129,cleanprovinces!$B:$B,cleanprovinces!$A:$A)</f>
        <v>EA</v>
      </c>
      <c r="D129" s="5" t="s">
        <v>86</v>
      </c>
      <c r="E129" s="6">
        <v>2021</v>
      </c>
      <c r="F129" s="7" cm="1">
        <f t="array" ref="F129">_xlfn.XLOOKUP(D129&amp;E129,'[1]Viirs77-Sol'!$C$2:$C$694&amp;'[1]Viirs77-Sol'!$D$2:$D$694,'[1]Viirs77-Sol'!$E$2:$E$694)</f>
        <v>13246.72249</v>
      </c>
      <c r="G129" s="7" cm="1">
        <f t="array" ref="G129">_xlfn.XLOOKUP(B129&amp;E129,'[2]Viirs77-Mean'!$A$2:$A$694&amp;'[2]Viirs77-Mean'!$D$2:$D$694,'[2]Viirs77-Mean'!$E$2:$E$694)</f>
        <v>1.257849371</v>
      </c>
      <c r="H129" s="9" cm="1">
        <f t="array" ref="H129">_xlfn.XLOOKUP(D129,cleanprovinces!$B$2:$B$78,_xlfn.XLOOKUP(panel!E129,cleanprovinces!$C$1:$AC$1,cleanprovinces!$C$2:$AC$78,"no",0,1))</f>
        <v>18009</v>
      </c>
      <c r="I129" s="4">
        <f t="shared" si="4"/>
        <v>18009000000</v>
      </c>
      <c r="J129" s="3" cm="1">
        <f t="array" ref="J129">_xlfn.XLOOKUP(D129,[3]Sheet1!$B$2:$B$78,_xlfn.XLOOKUP(E129,[3]Sheet1!$C$1:$AC$1,[3]Sheet1!$C$2:$AC$78))</f>
        <v>262</v>
      </c>
      <c r="K129" s="3">
        <f t="shared" si="3"/>
        <v>262000</v>
      </c>
      <c r="L129" s="3">
        <f t="shared" si="5"/>
        <v>68736.64122137404</v>
      </c>
      <c r="M129" s="10">
        <v>101.175395810754</v>
      </c>
      <c r="N129" s="10">
        <v>14.217185753861701</v>
      </c>
    </row>
    <row r="130" spans="1:14" hidden="1" x14ac:dyDescent="0.3">
      <c r="A130" s="5">
        <v>52</v>
      </c>
      <c r="B130" s="5" t="str">
        <f>_xlfn.XLOOKUP(D130,'[1]Viirs77-Sol'!$C$2:$C$694,'[1]Viirs77-Sol'!$A$2:$A$694)</f>
        <v>TH-25</v>
      </c>
      <c r="C130" s="5" t="str">
        <f>_xlfn.XLOOKUP(D130,cleanprovinces!$B:$B,cleanprovinces!$A:$A)</f>
        <v>EA</v>
      </c>
      <c r="D130" s="5" t="s">
        <v>87</v>
      </c>
      <c r="E130" s="6">
        <v>2014</v>
      </c>
      <c r="F130" s="7" cm="1">
        <f t="array" ref="F130">_xlfn.XLOOKUP(D130&amp;E130,'[1]Viirs77-Sol'!$C$2:$C$694&amp;'[1]Viirs77-Sol'!$D$2:$D$694,'[1]Viirs77-Sol'!$E$2:$E$694)</f>
        <v>17345.645079999998</v>
      </c>
      <c r="G130" s="7" cm="1">
        <f t="array" ref="G130">_xlfn.XLOOKUP(B130&amp;E130,'[2]Viirs77-Mean'!$A$2:$A$694&amp;'[2]Viirs77-Mean'!$D$2:$D$694,'[2]Viirs77-Mean'!$E$2:$E$694)</f>
        <v>0.64618782299999999</v>
      </c>
      <c r="H130" s="9" cm="1">
        <f t="array" ref="H130">_xlfn.XLOOKUP(D130,cleanprovinces!$B$2:$B$78,_xlfn.XLOOKUP(panel!E130,cleanprovinces!$C$1:$AC$1,cleanprovinces!$C$2:$AC$78,"no",0,1))</f>
        <v>184119</v>
      </c>
      <c r="I130" s="4">
        <f t="shared" si="4"/>
        <v>184119000000</v>
      </c>
      <c r="J130" s="3" cm="1">
        <f t="array" ref="J130">_xlfn.XLOOKUP(D130,[3]Sheet1!$B$2:$B$78,_xlfn.XLOOKUP(E130,[3]Sheet1!$C$1:$AC$1,[3]Sheet1!$C$2:$AC$78))</f>
        <v>582</v>
      </c>
      <c r="K130" s="3">
        <f t="shared" ref="K130:K193" si="6">J130*1000</f>
        <v>582000</v>
      </c>
      <c r="L130" s="3">
        <f t="shared" si="5"/>
        <v>316355.67010309279</v>
      </c>
      <c r="M130" s="10">
        <v>101.68624466368701</v>
      </c>
      <c r="N130" s="10">
        <v>14.042329199064801</v>
      </c>
    </row>
    <row r="131" spans="1:14" hidden="1" x14ac:dyDescent="0.3">
      <c r="A131" s="5">
        <v>52</v>
      </c>
      <c r="B131" s="5" t="str">
        <f>_xlfn.XLOOKUP(D131,'[1]Viirs77-Sol'!$C$2:$C$694,'[1]Viirs77-Sol'!$A$2:$A$694)</f>
        <v>TH-25</v>
      </c>
      <c r="C131" s="5" t="str">
        <f>_xlfn.XLOOKUP(D131,cleanprovinces!$B:$B,cleanprovinces!$A:$A)</f>
        <v>EA</v>
      </c>
      <c r="D131" s="5" t="s">
        <v>87</v>
      </c>
      <c r="E131" s="6">
        <v>2015</v>
      </c>
      <c r="F131" s="7" cm="1">
        <f t="array" ref="F131">_xlfn.XLOOKUP(D131&amp;E131,'[1]Viirs77-Sol'!$C$2:$C$694&amp;'[1]Viirs77-Sol'!$D$2:$D$694,'[1]Viirs77-Sol'!$E$2:$E$694)</f>
        <v>19792.64013</v>
      </c>
      <c r="G131" s="7" cm="1">
        <f t="array" ref="G131">_xlfn.XLOOKUP(B131&amp;E131,'[2]Viirs77-Mean'!$A$2:$A$694&amp;'[2]Viirs77-Mean'!$D$2:$D$694,'[2]Viirs77-Mean'!$E$2:$E$694)</f>
        <v>0.73734721199999997</v>
      </c>
      <c r="H131" s="9" cm="1">
        <f t="array" ref="H131">_xlfn.XLOOKUP(D131,cleanprovinces!$B$2:$B$78,_xlfn.XLOOKUP(panel!E131,cleanprovinces!$C$1:$AC$1,cleanprovinces!$C$2:$AC$78,"no",0,1))</f>
        <v>177569</v>
      </c>
      <c r="I131" s="4">
        <f t="shared" ref="I131:I194" si="7">H131*1000000</f>
        <v>177569000000</v>
      </c>
      <c r="J131" s="3" cm="1">
        <f t="array" ref="J131">_xlfn.XLOOKUP(D131,[3]Sheet1!$B$2:$B$78,_xlfn.XLOOKUP(E131,[3]Sheet1!$C$1:$AC$1,[3]Sheet1!$C$2:$AC$78))</f>
        <v>590</v>
      </c>
      <c r="K131" s="3">
        <f t="shared" si="6"/>
        <v>590000</v>
      </c>
      <c r="L131" s="3">
        <f t="shared" ref="L131:L194" si="8">I131/K131</f>
        <v>300964.40677966102</v>
      </c>
      <c r="M131" s="10">
        <v>101.68624466368701</v>
      </c>
      <c r="N131" s="10">
        <v>14.042329199064801</v>
      </c>
    </row>
    <row r="132" spans="1:14" hidden="1" x14ac:dyDescent="0.3">
      <c r="A132" s="5">
        <v>52</v>
      </c>
      <c r="B132" s="5" t="str">
        <f>_xlfn.XLOOKUP(D132,'[1]Viirs77-Sol'!$C$2:$C$694,'[1]Viirs77-Sol'!$A$2:$A$694)</f>
        <v>TH-25</v>
      </c>
      <c r="C132" s="5" t="str">
        <f>_xlfn.XLOOKUP(D132,cleanprovinces!$B:$B,cleanprovinces!$A:$A)</f>
        <v>EA</v>
      </c>
      <c r="D132" s="5" t="s">
        <v>87</v>
      </c>
      <c r="E132" s="6">
        <v>2016</v>
      </c>
      <c r="F132" s="7" cm="1">
        <f t="array" ref="F132">_xlfn.XLOOKUP(D132&amp;E132,'[1]Viirs77-Sol'!$C$2:$C$694&amp;'[1]Viirs77-Sol'!$D$2:$D$694,'[1]Viirs77-Sol'!$E$2:$E$694)</f>
        <v>21968.089260000001</v>
      </c>
      <c r="G132" s="7" cm="1">
        <f t="array" ref="G132">_xlfn.XLOOKUP(B132&amp;E132,'[2]Viirs77-Mean'!$A$2:$A$694&amp;'[2]Viirs77-Mean'!$D$2:$D$694,'[2]Viirs77-Mean'!$E$2:$E$694)</f>
        <v>0.818390536</v>
      </c>
      <c r="H132" s="9" cm="1">
        <f t="array" ref="H132">_xlfn.XLOOKUP(D132,cleanprovinces!$B$2:$B$78,_xlfn.XLOOKUP(panel!E132,cleanprovinces!$C$1:$AC$1,cleanprovinces!$C$2:$AC$78,"no",0,1))</f>
        <v>205188</v>
      </c>
      <c r="I132" s="4">
        <f t="shared" si="7"/>
        <v>205188000000</v>
      </c>
      <c r="J132" s="3" cm="1">
        <f t="array" ref="J132">_xlfn.XLOOKUP(D132,[3]Sheet1!$B$2:$B$78,_xlfn.XLOOKUP(E132,[3]Sheet1!$C$1:$AC$1,[3]Sheet1!$C$2:$AC$78))</f>
        <v>599</v>
      </c>
      <c r="K132" s="3">
        <f t="shared" si="6"/>
        <v>599000</v>
      </c>
      <c r="L132" s="3">
        <f t="shared" si="8"/>
        <v>342550.91819699499</v>
      </c>
      <c r="M132" s="10">
        <v>101.68624466368701</v>
      </c>
      <c r="N132" s="10">
        <v>14.042329199064801</v>
      </c>
    </row>
    <row r="133" spans="1:14" hidden="1" x14ac:dyDescent="0.3">
      <c r="A133" s="5">
        <v>52</v>
      </c>
      <c r="B133" s="5" t="str">
        <f>_xlfn.XLOOKUP(D133,'[1]Viirs77-Sol'!$C$2:$C$694,'[1]Viirs77-Sol'!$A$2:$A$694)</f>
        <v>TH-25</v>
      </c>
      <c r="C133" s="5" t="str">
        <f>_xlfn.XLOOKUP(D133,cleanprovinces!$B:$B,cleanprovinces!$A:$A)</f>
        <v>EA</v>
      </c>
      <c r="D133" s="5" t="s">
        <v>87</v>
      </c>
      <c r="E133" s="6">
        <v>2017</v>
      </c>
      <c r="F133" s="7" cm="1">
        <f t="array" ref="F133">_xlfn.XLOOKUP(D133&amp;E133,'[1]Viirs77-Sol'!$C$2:$C$694&amp;'[1]Viirs77-Sol'!$D$2:$D$694,'[1]Viirs77-Sol'!$E$2:$E$694)</f>
        <v>25014.953310000001</v>
      </c>
      <c r="G133" s="7" cm="1">
        <f t="array" ref="G133">_xlfn.XLOOKUP(B133&amp;E133,'[2]Viirs77-Mean'!$A$2:$A$694&amp;'[2]Viirs77-Mean'!$D$2:$D$694,'[2]Viirs77-Mean'!$E$2:$E$694)</f>
        <v>0.93189720799999998</v>
      </c>
      <c r="H133" s="9" cm="1">
        <f t="array" ref="H133">_xlfn.XLOOKUP(D133,cleanprovinces!$B$2:$B$78,_xlfn.XLOOKUP(panel!E133,cleanprovinces!$C$1:$AC$1,cleanprovinces!$C$2:$AC$78,"no",0,1))</f>
        <v>251950</v>
      </c>
      <c r="I133" s="4">
        <f t="shared" si="7"/>
        <v>251950000000</v>
      </c>
      <c r="J133" s="3" cm="1">
        <f t="array" ref="J133">_xlfn.XLOOKUP(D133,[3]Sheet1!$B$2:$B$78,_xlfn.XLOOKUP(E133,[3]Sheet1!$C$1:$AC$1,[3]Sheet1!$C$2:$AC$78))</f>
        <v>612</v>
      </c>
      <c r="K133" s="3">
        <f t="shared" si="6"/>
        <v>612000</v>
      </c>
      <c r="L133" s="3">
        <f t="shared" si="8"/>
        <v>411683.00653594773</v>
      </c>
      <c r="M133" s="10">
        <v>101.68624466368701</v>
      </c>
      <c r="N133" s="10">
        <v>14.042329199064801</v>
      </c>
    </row>
    <row r="134" spans="1:14" hidden="1" x14ac:dyDescent="0.3">
      <c r="A134" s="5">
        <v>52</v>
      </c>
      <c r="B134" s="5" t="str">
        <f>_xlfn.XLOOKUP(D134,'[1]Viirs77-Sol'!$C$2:$C$694,'[1]Viirs77-Sol'!$A$2:$A$694)</f>
        <v>TH-25</v>
      </c>
      <c r="C134" s="5" t="str">
        <f>_xlfn.XLOOKUP(D134,cleanprovinces!$B:$B,cleanprovinces!$A:$A)</f>
        <v>EA</v>
      </c>
      <c r="D134" s="5" t="s">
        <v>87</v>
      </c>
      <c r="E134" s="6">
        <v>2018</v>
      </c>
      <c r="F134" s="7" cm="1">
        <f t="array" ref="F134">_xlfn.XLOOKUP(D134&amp;E134,'[1]Viirs77-Sol'!$C$2:$C$694&amp;'[1]Viirs77-Sol'!$D$2:$D$694,'[1]Viirs77-Sol'!$E$2:$E$694)</f>
        <v>25333.657289999999</v>
      </c>
      <c r="G134" s="7" cm="1">
        <f t="array" ref="G134">_xlfn.XLOOKUP(B134&amp;E134,'[2]Viirs77-Mean'!$A$2:$A$694&amp;'[2]Viirs77-Mean'!$D$2:$D$694,'[2]Viirs77-Mean'!$E$2:$E$694)</f>
        <v>0.94377008100000004</v>
      </c>
      <c r="H134" s="9" cm="1">
        <f t="array" ref="H134">_xlfn.XLOOKUP(D134,cleanprovinces!$B$2:$B$78,_xlfn.XLOOKUP(panel!E134,cleanprovinces!$C$1:$AC$1,cleanprovinces!$C$2:$AC$78,"no",0,1))</f>
        <v>273399</v>
      </c>
      <c r="I134" s="4">
        <f t="shared" si="7"/>
        <v>273399000000</v>
      </c>
      <c r="J134" s="3" cm="1">
        <f t="array" ref="J134">_xlfn.XLOOKUP(D134,[3]Sheet1!$B$2:$B$78,_xlfn.XLOOKUP(E134,[3]Sheet1!$C$1:$AC$1,[3]Sheet1!$C$2:$AC$78))</f>
        <v>621</v>
      </c>
      <c r="K134" s="3">
        <f t="shared" si="6"/>
        <v>621000</v>
      </c>
      <c r="L134" s="3">
        <f t="shared" si="8"/>
        <v>440256.038647343</v>
      </c>
      <c r="M134" s="10">
        <v>101.68624466368701</v>
      </c>
      <c r="N134" s="10">
        <v>14.042329199064801</v>
      </c>
    </row>
    <row r="135" spans="1:14" hidden="1" x14ac:dyDescent="0.3">
      <c r="A135" s="5">
        <v>52</v>
      </c>
      <c r="B135" s="5" t="str">
        <f>_xlfn.XLOOKUP(D135,'[1]Viirs77-Sol'!$C$2:$C$694,'[1]Viirs77-Sol'!$A$2:$A$694)</f>
        <v>TH-25</v>
      </c>
      <c r="C135" s="5" t="str">
        <f>_xlfn.XLOOKUP(D135,cleanprovinces!$B:$B,cleanprovinces!$A:$A)</f>
        <v>EA</v>
      </c>
      <c r="D135" s="5" t="s">
        <v>87</v>
      </c>
      <c r="E135" s="6">
        <v>2019</v>
      </c>
      <c r="F135" s="7" cm="1">
        <f t="array" ref="F135">_xlfn.XLOOKUP(D135&amp;E135,'[1]Viirs77-Sol'!$C$2:$C$694&amp;'[1]Viirs77-Sol'!$D$2:$D$694,'[1]Viirs77-Sol'!$E$2:$E$694)</f>
        <v>26880.724819999999</v>
      </c>
      <c r="G135" s="7" cm="1">
        <f t="array" ref="G135">_xlfn.XLOOKUP(B135&amp;E135,'[2]Viirs77-Mean'!$A$2:$A$694&amp;'[2]Viirs77-Mean'!$D$2:$D$694,'[2]Viirs77-Mean'!$E$2:$E$694)</f>
        <v>1.001403925</v>
      </c>
      <c r="H135" s="9" cm="1">
        <f t="array" ref="H135">_xlfn.XLOOKUP(D135,cleanprovinces!$B$2:$B$78,_xlfn.XLOOKUP(panel!E135,cleanprovinces!$C$1:$AC$1,cleanprovinces!$C$2:$AC$78,"no",0,1))</f>
        <v>300183</v>
      </c>
      <c r="I135" s="4">
        <f t="shared" si="7"/>
        <v>300183000000</v>
      </c>
      <c r="J135" s="3" cm="1">
        <f t="array" ref="J135">_xlfn.XLOOKUP(D135,[3]Sheet1!$B$2:$B$78,_xlfn.XLOOKUP(E135,[3]Sheet1!$C$1:$AC$1,[3]Sheet1!$C$2:$AC$78))</f>
        <v>630</v>
      </c>
      <c r="K135" s="3">
        <f t="shared" si="6"/>
        <v>630000</v>
      </c>
      <c r="L135" s="3">
        <f t="shared" si="8"/>
        <v>476480.95238095237</v>
      </c>
      <c r="M135" s="10">
        <v>101.68624466368701</v>
      </c>
      <c r="N135" s="10">
        <v>14.042329199064801</v>
      </c>
    </row>
    <row r="136" spans="1:14" hidden="1" x14ac:dyDescent="0.3">
      <c r="A136" s="5">
        <v>52</v>
      </c>
      <c r="B136" s="5" t="str">
        <f>_xlfn.XLOOKUP(D136,'[1]Viirs77-Sol'!$C$2:$C$694,'[1]Viirs77-Sol'!$A$2:$A$694)</f>
        <v>TH-25</v>
      </c>
      <c r="C136" s="5" t="str">
        <f>_xlfn.XLOOKUP(D136,cleanprovinces!$B:$B,cleanprovinces!$A:$A)</f>
        <v>EA</v>
      </c>
      <c r="D136" s="5" t="s">
        <v>87</v>
      </c>
      <c r="E136" s="6">
        <v>2020</v>
      </c>
      <c r="F136" s="7" cm="1">
        <f t="array" ref="F136">_xlfn.XLOOKUP(D136&amp;E136,'[1]Viirs77-Sol'!$C$2:$C$694&amp;'[1]Viirs77-Sol'!$D$2:$D$694,'[1]Viirs77-Sol'!$E$2:$E$694)</f>
        <v>28415.486199999999</v>
      </c>
      <c r="G136" s="7" cm="1">
        <f t="array" ref="G136">_xlfn.XLOOKUP(B136&amp;E136,'[2]Viirs77-Mean'!$A$2:$A$694&amp;'[2]Viirs77-Mean'!$D$2:$D$694,'[2]Viirs77-Mean'!$E$2:$E$694)</f>
        <v>1.05857932</v>
      </c>
      <c r="H136" s="9" cm="1">
        <f t="array" ref="H136">_xlfn.XLOOKUP(D136,cleanprovinces!$B$2:$B$78,_xlfn.XLOOKUP(panel!E136,cleanprovinces!$C$1:$AC$1,cleanprovinces!$C$2:$AC$78,"no",0,1))</f>
        <v>278204</v>
      </c>
      <c r="I136" s="4">
        <f t="shared" si="7"/>
        <v>278204000000</v>
      </c>
      <c r="J136" s="3" cm="1">
        <f t="array" ref="J136">_xlfn.XLOOKUP(D136,[3]Sheet1!$B$2:$B$78,_xlfn.XLOOKUP(E136,[3]Sheet1!$C$1:$AC$1,[3]Sheet1!$C$2:$AC$78))</f>
        <v>638</v>
      </c>
      <c r="K136" s="3">
        <f t="shared" si="6"/>
        <v>638000</v>
      </c>
      <c r="L136" s="3">
        <f t="shared" si="8"/>
        <v>436056.42633228842</v>
      </c>
      <c r="M136" s="10">
        <v>101.68624466368701</v>
      </c>
      <c r="N136" s="10">
        <v>14.042329199064801</v>
      </c>
    </row>
    <row r="137" spans="1:14" hidden="1" x14ac:dyDescent="0.3">
      <c r="A137" s="5">
        <v>52</v>
      </c>
      <c r="B137" s="5" t="str">
        <f>_xlfn.XLOOKUP(D137,'[1]Viirs77-Sol'!$C$2:$C$694,'[1]Viirs77-Sol'!$A$2:$A$694)</f>
        <v>TH-25</v>
      </c>
      <c r="C137" s="5" t="str">
        <f>_xlfn.XLOOKUP(D137,cleanprovinces!$B:$B,cleanprovinces!$A:$A)</f>
        <v>EA</v>
      </c>
      <c r="D137" s="5" t="s">
        <v>87</v>
      </c>
      <c r="E137" s="6">
        <v>2021</v>
      </c>
      <c r="F137" s="7" cm="1">
        <f t="array" ref="F137">_xlfn.XLOOKUP(D137&amp;E137,'[1]Viirs77-Sol'!$C$2:$C$694&amp;'[1]Viirs77-Sol'!$D$2:$D$694,'[1]Viirs77-Sol'!$E$2:$E$694)</f>
        <v>31037.674859999999</v>
      </c>
      <c r="G137" s="7" cm="1">
        <f t="array" ref="G137">_xlfn.XLOOKUP(B137&amp;E137,'[2]Viirs77-Mean'!$A$2:$A$694&amp;'[2]Viirs77-Mean'!$D$2:$D$694,'[2]Viirs77-Mean'!$E$2:$E$694)</f>
        <v>1.1562653030000001</v>
      </c>
      <c r="H137" s="9" cm="1">
        <f t="array" ref="H137">_xlfn.XLOOKUP(D137,cleanprovinces!$B$2:$B$78,_xlfn.XLOOKUP(panel!E137,cleanprovinces!$C$1:$AC$1,cleanprovinces!$C$2:$AC$78,"no",0,1))</f>
        <v>271868</v>
      </c>
      <c r="I137" s="4">
        <f t="shared" si="7"/>
        <v>271868000000</v>
      </c>
      <c r="J137" s="3" cm="1">
        <f t="array" ref="J137">_xlfn.XLOOKUP(D137,[3]Sheet1!$B$2:$B$78,_xlfn.XLOOKUP(E137,[3]Sheet1!$C$1:$AC$1,[3]Sheet1!$C$2:$AC$78))</f>
        <v>647</v>
      </c>
      <c r="K137" s="3">
        <f t="shared" si="6"/>
        <v>647000</v>
      </c>
      <c r="L137" s="3">
        <f t="shared" si="8"/>
        <v>420197.83616692427</v>
      </c>
      <c r="M137" s="10">
        <v>101.68624466368701</v>
      </c>
      <c r="N137" s="10">
        <v>14.042329199064801</v>
      </c>
    </row>
    <row r="138" spans="1:14" hidden="1" x14ac:dyDescent="0.3">
      <c r="A138" s="5">
        <v>51</v>
      </c>
      <c r="B138" s="5" t="str">
        <f>_xlfn.XLOOKUP(D138,'[1]Viirs77-Sol'!$C$2:$C$694,'[1]Viirs77-Sol'!$A$2:$A$694)</f>
        <v>TH-21</v>
      </c>
      <c r="C138" s="5" t="str">
        <f>_xlfn.XLOOKUP(D138,cleanprovinces!$B:$B,cleanprovinces!$A:$A)</f>
        <v>EA</v>
      </c>
      <c r="D138" s="5" t="s">
        <v>83</v>
      </c>
      <c r="E138" s="6">
        <v>2014</v>
      </c>
      <c r="F138" s="7" cm="1">
        <f t="array" ref="F138">_xlfn.XLOOKUP(D138&amp;E138,'[1]Viirs77-Sol'!$C$2:$C$694&amp;'[1]Viirs77-Sol'!$D$2:$D$694,'[1]Viirs77-Sol'!$E$2:$E$694)</f>
        <v>73667.092369999998</v>
      </c>
      <c r="G138" s="7" cm="1">
        <f t="array" ref="G138">_xlfn.XLOOKUP(B138&amp;E138,'[2]Viirs77-Mean'!$A$2:$A$694&amp;'[2]Viirs77-Mean'!$D$2:$D$694,'[2]Viirs77-Mean'!$E$2:$E$694)</f>
        <v>4.2077311499999999</v>
      </c>
      <c r="H138" s="9" cm="1">
        <f t="array" ref="H138">_xlfn.XLOOKUP(D138,cleanprovinces!$B$2:$B$78,_xlfn.XLOOKUP(panel!E138,cleanprovinces!$C$1:$AC$1,cleanprovinces!$C$2:$AC$78,"no",0,1))</f>
        <v>461274</v>
      </c>
      <c r="I138" s="4">
        <f t="shared" si="7"/>
        <v>461274000000</v>
      </c>
      <c r="J138" s="3" cm="1">
        <f t="array" ref="J138">_xlfn.XLOOKUP(D138,[3]Sheet1!$B$2:$B$78,_xlfn.XLOOKUP(E138,[3]Sheet1!$C$1:$AC$1,[3]Sheet1!$C$2:$AC$78))</f>
        <v>886</v>
      </c>
      <c r="K138" s="3">
        <f t="shared" si="6"/>
        <v>886000</v>
      </c>
      <c r="L138" s="3">
        <f t="shared" si="8"/>
        <v>520625.2821670429</v>
      </c>
      <c r="M138" s="10">
        <v>101.42461988039901</v>
      </c>
      <c r="N138" s="10">
        <v>12.851341342741</v>
      </c>
    </row>
    <row r="139" spans="1:14" hidden="1" x14ac:dyDescent="0.3">
      <c r="A139" s="5">
        <v>51</v>
      </c>
      <c r="B139" s="5" t="str">
        <f>_xlfn.XLOOKUP(D139,'[1]Viirs77-Sol'!$C$2:$C$694,'[1]Viirs77-Sol'!$A$2:$A$694)</f>
        <v>TH-21</v>
      </c>
      <c r="C139" s="5" t="str">
        <f>_xlfn.XLOOKUP(D139,cleanprovinces!$B:$B,cleanprovinces!$A:$A)</f>
        <v>EA</v>
      </c>
      <c r="D139" s="5" t="s">
        <v>83</v>
      </c>
      <c r="E139" s="6">
        <v>2015</v>
      </c>
      <c r="F139" s="7" cm="1">
        <f t="array" ref="F139">_xlfn.XLOOKUP(D139&amp;E139,'[1]Viirs77-Sol'!$C$2:$C$694&amp;'[1]Viirs77-Sol'!$D$2:$D$694,'[1]Viirs77-Sol'!$E$2:$E$694)</f>
        <v>75613.212849999996</v>
      </c>
      <c r="G139" s="7" cm="1">
        <f t="array" ref="G139">_xlfn.XLOOKUP(B139&amp;E139,'[2]Viirs77-Mean'!$A$2:$A$694&amp;'[2]Viirs77-Mean'!$D$2:$D$694,'[2]Viirs77-Mean'!$E$2:$E$694)</f>
        <v>4.3188900339999998</v>
      </c>
      <c r="H139" s="9" cm="1">
        <f t="array" ref="H139">_xlfn.XLOOKUP(D139,cleanprovinces!$B$2:$B$78,_xlfn.XLOOKUP(panel!E139,cleanprovinces!$C$1:$AC$1,cleanprovinces!$C$2:$AC$78,"no",0,1))</f>
        <v>477569</v>
      </c>
      <c r="I139" s="4">
        <f t="shared" si="7"/>
        <v>477569000000</v>
      </c>
      <c r="J139" s="3" cm="1">
        <f t="array" ref="J139">_xlfn.XLOOKUP(D139,[3]Sheet1!$B$2:$B$78,_xlfn.XLOOKUP(E139,[3]Sheet1!$C$1:$AC$1,[3]Sheet1!$C$2:$AC$78))</f>
        <v>902</v>
      </c>
      <c r="K139" s="3">
        <f t="shared" si="6"/>
        <v>902000</v>
      </c>
      <c r="L139" s="3">
        <f t="shared" si="8"/>
        <v>529455.65410199552</v>
      </c>
      <c r="M139" s="10">
        <v>101.42461988039901</v>
      </c>
      <c r="N139" s="10">
        <v>12.851341342741</v>
      </c>
    </row>
    <row r="140" spans="1:14" hidden="1" x14ac:dyDescent="0.3">
      <c r="A140" s="5">
        <v>51</v>
      </c>
      <c r="B140" s="5" t="str">
        <f>_xlfn.XLOOKUP(D140,'[1]Viirs77-Sol'!$C$2:$C$694,'[1]Viirs77-Sol'!$A$2:$A$694)</f>
        <v>TH-21</v>
      </c>
      <c r="C140" s="5" t="str">
        <f>_xlfn.XLOOKUP(D140,cleanprovinces!$B:$B,cleanprovinces!$A:$A)</f>
        <v>EA</v>
      </c>
      <c r="D140" s="5" t="s">
        <v>83</v>
      </c>
      <c r="E140" s="6">
        <v>2016</v>
      </c>
      <c r="F140" s="7" cm="1">
        <f t="array" ref="F140">_xlfn.XLOOKUP(D140&amp;E140,'[1]Viirs77-Sol'!$C$2:$C$694&amp;'[1]Viirs77-Sol'!$D$2:$D$694,'[1]Viirs77-Sol'!$E$2:$E$694)</f>
        <v>79370.234599999996</v>
      </c>
      <c r="G140" s="7" cm="1">
        <f t="array" ref="G140">_xlfn.XLOOKUP(B140&amp;E140,'[2]Viirs77-Mean'!$A$2:$A$694&amp;'[2]Viirs77-Mean'!$D$2:$D$694,'[2]Viirs77-Mean'!$E$2:$E$694)</f>
        <v>4.5334843249999999</v>
      </c>
      <c r="H140" s="9" cm="1">
        <f t="array" ref="H140">_xlfn.XLOOKUP(D140,cleanprovinces!$B$2:$B$78,_xlfn.XLOOKUP(panel!E140,cleanprovinces!$C$1:$AC$1,cleanprovinces!$C$2:$AC$78,"no",0,1))</f>
        <v>493228</v>
      </c>
      <c r="I140" s="4">
        <f t="shared" si="7"/>
        <v>493228000000</v>
      </c>
      <c r="J140" s="3" cm="1">
        <f t="array" ref="J140">_xlfn.XLOOKUP(D140,[3]Sheet1!$B$2:$B$78,_xlfn.XLOOKUP(E140,[3]Sheet1!$C$1:$AC$1,[3]Sheet1!$C$2:$AC$78))</f>
        <v>921</v>
      </c>
      <c r="K140" s="3">
        <f t="shared" si="6"/>
        <v>921000</v>
      </c>
      <c r="L140" s="3">
        <f t="shared" si="8"/>
        <v>535535.28773072746</v>
      </c>
      <c r="M140" s="10">
        <v>101.42461988039901</v>
      </c>
      <c r="N140" s="10">
        <v>12.851341342741</v>
      </c>
    </row>
    <row r="141" spans="1:14" hidden="1" x14ac:dyDescent="0.3">
      <c r="A141" s="5">
        <v>51</v>
      </c>
      <c r="B141" s="5" t="str">
        <f>_xlfn.XLOOKUP(D141,'[1]Viirs77-Sol'!$C$2:$C$694,'[1]Viirs77-Sol'!$A$2:$A$694)</f>
        <v>TH-21</v>
      </c>
      <c r="C141" s="5" t="str">
        <f>_xlfn.XLOOKUP(D141,cleanprovinces!$B:$B,cleanprovinces!$A:$A)</f>
        <v>EA</v>
      </c>
      <c r="D141" s="5" t="s">
        <v>83</v>
      </c>
      <c r="E141" s="6">
        <v>2017</v>
      </c>
      <c r="F141" s="7" cm="1">
        <f t="array" ref="F141">_xlfn.XLOOKUP(D141&amp;E141,'[1]Viirs77-Sol'!$C$2:$C$694&amp;'[1]Viirs77-Sol'!$D$2:$D$694,'[1]Viirs77-Sol'!$E$2:$E$694)</f>
        <v>86016.260630000004</v>
      </c>
      <c r="G141" s="7" cm="1">
        <f t="array" ref="G141">_xlfn.XLOOKUP(B141&amp;E141,'[2]Viirs77-Mean'!$A$2:$A$694&amp;'[2]Viirs77-Mean'!$D$2:$D$694,'[2]Viirs77-Mean'!$E$2:$E$694)</f>
        <v>4.9130933179999996</v>
      </c>
      <c r="H141" s="9" cm="1">
        <f t="array" ref="H141">_xlfn.XLOOKUP(D141,cleanprovinces!$B$2:$B$78,_xlfn.XLOOKUP(panel!E141,cleanprovinces!$C$1:$AC$1,cleanprovinces!$C$2:$AC$78,"no",0,1))</f>
        <v>521844</v>
      </c>
      <c r="I141" s="4">
        <f t="shared" si="7"/>
        <v>521844000000</v>
      </c>
      <c r="J141" s="3" cm="1">
        <f t="array" ref="J141">_xlfn.XLOOKUP(D141,[3]Sheet1!$B$2:$B$78,_xlfn.XLOOKUP(E141,[3]Sheet1!$C$1:$AC$1,[3]Sheet1!$C$2:$AC$78))</f>
        <v>954</v>
      </c>
      <c r="K141" s="3">
        <f t="shared" si="6"/>
        <v>954000</v>
      </c>
      <c r="L141" s="3">
        <f t="shared" si="8"/>
        <v>547006.28930817614</v>
      </c>
      <c r="M141" s="10">
        <v>101.42461988039901</v>
      </c>
      <c r="N141" s="10">
        <v>12.851341342741</v>
      </c>
    </row>
    <row r="142" spans="1:14" hidden="1" x14ac:dyDescent="0.3">
      <c r="A142" s="5">
        <v>51</v>
      </c>
      <c r="B142" s="5" t="str">
        <f>_xlfn.XLOOKUP(D142,'[1]Viirs77-Sol'!$C$2:$C$694,'[1]Viirs77-Sol'!$A$2:$A$694)</f>
        <v>TH-21</v>
      </c>
      <c r="C142" s="5" t="str">
        <f>_xlfn.XLOOKUP(D142,cleanprovinces!$B:$B,cleanprovinces!$A:$A)</f>
        <v>EA</v>
      </c>
      <c r="D142" s="5" t="s">
        <v>83</v>
      </c>
      <c r="E142" s="6">
        <v>2018</v>
      </c>
      <c r="F142" s="7" cm="1">
        <f t="array" ref="F142">_xlfn.XLOOKUP(D142&amp;E142,'[1]Viirs77-Sol'!$C$2:$C$694&amp;'[1]Viirs77-Sol'!$D$2:$D$694,'[1]Viirs77-Sol'!$E$2:$E$694)</f>
        <v>86803.976309999998</v>
      </c>
      <c r="G142" s="7" cm="1">
        <f t="array" ref="G142">_xlfn.XLOOKUP(B142&amp;E142,'[2]Viirs77-Mean'!$A$2:$A$694&amp;'[2]Viirs77-Mean'!$D$2:$D$694,'[2]Viirs77-Mean'!$E$2:$E$694)</f>
        <v>4.9580862129999996</v>
      </c>
      <c r="H142" s="9" cm="1">
        <f t="array" ref="H142">_xlfn.XLOOKUP(D142,cleanprovinces!$B$2:$B$78,_xlfn.XLOOKUP(panel!E142,cleanprovinces!$C$1:$AC$1,cleanprovinces!$C$2:$AC$78,"no",0,1))</f>
        <v>521125</v>
      </c>
      <c r="I142" s="4">
        <f t="shared" si="7"/>
        <v>521125000000</v>
      </c>
      <c r="J142" s="3" cm="1">
        <f t="array" ref="J142">_xlfn.XLOOKUP(D142,[3]Sheet1!$B$2:$B$78,_xlfn.XLOOKUP(E142,[3]Sheet1!$C$1:$AC$1,[3]Sheet1!$C$2:$AC$78))</f>
        <v>980</v>
      </c>
      <c r="K142" s="3">
        <f t="shared" si="6"/>
        <v>980000</v>
      </c>
      <c r="L142" s="3">
        <f t="shared" si="8"/>
        <v>531760.20408163266</v>
      </c>
      <c r="M142" s="10">
        <v>101.42461988039901</v>
      </c>
      <c r="N142" s="10">
        <v>12.851341342741</v>
      </c>
    </row>
    <row r="143" spans="1:14" hidden="1" x14ac:dyDescent="0.3">
      <c r="A143" s="5">
        <v>51</v>
      </c>
      <c r="B143" s="5" t="str">
        <f>_xlfn.XLOOKUP(D143,'[1]Viirs77-Sol'!$C$2:$C$694,'[1]Viirs77-Sol'!$A$2:$A$694)</f>
        <v>TH-21</v>
      </c>
      <c r="C143" s="5" t="str">
        <f>_xlfn.XLOOKUP(D143,cleanprovinces!$B:$B,cleanprovinces!$A:$A)</f>
        <v>EA</v>
      </c>
      <c r="D143" s="5" t="s">
        <v>83</v>
      </c>
      <c r="E143" s="6">
        <v>2019</v>
      </c>
      <c r="F143" s="7" cm="1">
        <f t="array" ref="F143">_xlfn.XLOOKUP(D143&amp;E143,'[1]Viirs77-Sol'!$C$2:$C$694&amp;'[1]Viirs77-Sol'!$D$2:$D$694,'[1]Viirs77-Sol'!$E$2:$E$694)</f>
        <v>92450.905360000004</v>
      </c>
      <c r="G143" s="7" cm="1">
        <f t="array" ref="G143">_xlfn.XLOOKUP(B143&amp;E143,'[2]Viirs77-Mean'!$A$2:$A$694&amp;'[2]Viirs77-Mean'!$D$2:$D$694,'[2]Viirs77-Mean'!$E$2:$E$694)</f>
        <v>5.2806285930000003</v>
      </c>
      <c r="H143" s="9" cm="1">
        <f t="array" ref="H143">_xlfn.XLOOKUP(D143,cleanprovinces!$B$2:$B$78,_xlfn.XLOOKUP(panel!E143,cleanprovinces!$C$1:$AC$1,cleanprovinces!$C$2:$AC$78,"no",0,1))</f>
        <v>519005</v>
      </c>
      <c r="I143" s="4">
        <f t="shared" si="7"/>
        <v>519005000000</v>
      </c>
      <c r="J143" s="3" cm="1">
        <f t="array" ref="J143">_xlfn.XLOOKUP(D143,[3]Sheet1!$B$2:$B$78,_xlfn.XLOOKUP(E143,[3]Sheet1!$C$1:$AC$1,[3]Sheet1!$C$2:$AC$78))</f>
        <v>1005</v>
      </c>
      <c r="K143" s="3">
        <f t="shared" si="6"/>
        <v>1005000</v>
      </c>
      <c r="L143" s="3">
        <f t="shared" si="8"/>
        <v>516422.88557213929</v>
      </c>
      <c r="M143" s="10">
        <v>101.42461988039901</v>
      </c>
      <c r="N143" s="10">
        <v>12.851341342741</v>
      </c>
    </row>
    <row r="144" spans="1:14" hidden="1" x14ac:dyDescent="0.3">
      <c r="A144" s="5">
        <v>51</v>
      </c>
      <c r="B144" s="5" t="str">
        <f>_xlfn.XLOOKUP(D144,'[1]Viirs77-Sol'!$C$2:$C$694,'[1]Viirs77-Sol'!$A$2:$A$694)</f>
        <v>TH-21</v>
      </c>
      <c r="C144" s="5" t="str">
        <f>_xlfn.XLOOKUP(D144,cleanprovinces!$B:$B,cleanprovinces!$A:$A)</f>
        <v>EA</v>
      </c>
      <c r="D144" s="5" t="s">
        <v>83</v>
      </c>
      <c r="E144" s="6">
        <v>2020</v>
      </c>
      <c r="F144" s="7" cm="1">
        <f t="array" ref="F144">_xlfn.XLOOKUP(D144&amp;E144,'[1]Viirs77-Sol'!$C$2:$C$694&amp;'[1]Viirs77-Sol'!$D$2:$D$694,'[1]Viirs77-Sol'!$E$2:$E$694)</f>
        <v>96949.41979</v>
      </c>
      <c r="G144" s="7" cm="1">
        <f t="array" ref="G144">_xlfn.XLOOKUP(B144&amp;E144,'[2]Viirs77-Mean'!$A$2:$A$694&amp;'[2]Viirs77-Mean'!$D$2:$D$694,'[2]Viirs77-Mean'!$E$2:$E$694)</f>
        <v>5.5375756049999998</v>
      </c>
      <c r="H144" s="9" cm="1">
        <f t="array" ref="H144">_xlfn.XLOOKUP(D144,cleanprovinces!$B$2:$B$78,_xlfn.XLOOKUP(panel!E144,cleanprovinces!$C$1:$AC$1,cleanprovinces!$C$2:$AC$78,"no",0,1))</f>
        <v>489914</v>
      </c>
      <c r="I144" s="4">
        <f t="shared" si="7"/>
        <v>489914000000</v>
      </c>
      <c r="J144" s="3" cm="1">
        <f t="array" ref="J144">_xlfn.XLOOKUP(D144,[3]Sheet1!$B$2:$B$78,_xlfn.XLOOKUP(E144,[3]Sheet1!$C$1:$AC$1,[3]Sheet1!$C$2:$AC$78))</f>
        <v>1031</v>
      </c>
      <c r="K144" s="3">
        <f t="shared" si="6"/>
        <v>1031000</v>
      </c>
      <c r="L144" s="3">
        <f t="shared" si="8"/>
        <v>475183.31716779823</v>
      </c>
      <c r="M144" s="10">
        <v>101.42461988039901</v>
      </c>
      <c r="N144" s="10">
        <v>12.851341342741</v>
      </c>
    </row>
    <row r="145" spans="1:14" hidden="1" x14ac:dyDescent="0.3">
      <c r="A145" s="5">
        <v>51</v>
      </c>
      <c r="B145" s="5" t="str">
        <f>_xlfn.XLOOKUP(D145,'[1]Viirs77-Sol'!$C$2:$C$694,'[1]Viirs77-Sol'!$A$2:$A$694)</f>
        <v>TH-21</v>
      </c>
      <c r="C145" s="5" t="str">
        <f>_xlfn.XLOOKUP(D145,cleanprovinces!$B:$B,cleanprovinces!$A:$A)</f>
        <v>EA</v>
      </c>
      <c r="D145" s="5" t="s">
        <v>83</v>
      </c>
      <c r="E145" s="6">
        <v>2021</v>
      </c>
      <c r="F145" s="7" cm="1">
        <f t="array" ref="F145">_xlfn.XLOOKUP(D145&amp;E145,'[1]Viirs77-Sol'!$C$2:$C$694&amp;'[1]Viirs77-Sol'!$D$2:$D$694,'[1]Viirs77-Sol'!$E$2:$E$694)</f>
        <v>122498.3232</v>
      </c>
      <c r="G145" s="7" cm="1">
        <f t="array" ref="G145">_xlfn.XLOOKUP(B145&amp;E145,'[2]Viirs77-Mean'!$A$2:$A$694&amp;'[2]Viirs77-Mean'!$D$2:$D$694,'[2]Viirs77-Mean'!$E$2:$E$694)</f>
        <v>6.9968827830000002</v>
      </c>
      <c r="H145" s="9" cm="1">
        <f t="array" ref="H145">_xlfn.XLOOKUP(D145,cleanprovinces!$B$2:$B$78,_xlfn.XLOOKUP(panel!E145,cleanprovinces!$C$1:$AC$1,cleanprovinces!$C$2:$AC$78,"no",0,1))</f>
        <v>496956</v>
      </c>
      <c r="I145" s="4">
        <f t="shared" si="7"/>
        <v>496956000000</v>
      </c>
      <c r="J145" s="3" cm="1">
        <f t="array" ref="J145">_xlfn.XLOOKUP(D145,[3]Sheet1!$B$2:$B$78,_xlfn.XLOOKUP(E145,[3]Sheet1!$C$1:$AC$1,[3]Sheet1!$C$2:$AC$78))</f>
        <v>1056</v>
      </c>
      <c r="K145" s="3">
        <f t="shared" si="6"/>
        <v>1056000</v>
      </c>
      <c r="L145" s="3">
        <f t="shared" si="8"/>
        <v>470602.27272727271</v>
      </c>
      <c r="M145" s="10">
        <v>101.42461988039901</v>
      </c>
      <c r="N145" s="10">
        <v>12.851341342741</v>
      </c>
    </row>
    <row r="146" spans="1:14" hidden="1" x14ac:dyDescent="0.3">
      <c r="A146" s="5">
        <v>75</v>
      </c>
      <c r="B146" s="5" t="str">
        <f>_xlfn.XLOOKUP(D146,'[1]Viirs77-Sol'!$C$2:$C$694,'[1]Viirs77-Sol'!$A$2:$A$694)</f>
        <v>TH-27</v>
      </c>
      <c r="C146" s="5" t="str">
        <f>_xlfn.XLOOKUP(D146,cleanprovinces!$B:$B,cleanprovinces!$A:$A)</f>
        <v>EA</v>
      </c>
      <c r="D146" s="5" t="s">
        <v>88</v>
      </c>
      <c r="E146" s="6">
        <v>2014</v>
      </c>
      <c r="F146" s="7" cm="1">
        <f t="array" ref="F146">_xlfn.XLOOKUP(D146&amp;E146,'[1]Viirs77-Sol'!$C$2:$C$694&amp;'[1]Viirs77-Sol'!$D$2:$D$694,'[1]Viirs77-Sol'!$E$2:$E$694)</f>
        <v>6474.592815</v>
      </c>
      <c r="G146" s="7" cm="1">
        <f t="array" ref="G146">_xlfn.XLOOKUP(B146&amp;E146,'[2]Viirs77-Mean'!$A$2:$A$694&amp;'[2]Viirs77-Mean'!$D$2:$D$694,'[2]Viirs77-Mean'!$E$2:$E$694)</f>
        <v>0.212721041</v>
      </c>
      <c r="H146" s="9" cm="1">
        <f t="array" ref="H146">_xlfn.XLOOKUP(D146,cleanprovinces!$B$2:$B$78,_xlfn.XLOOKUP(panel!E146,cleanprovinces!$C$1:$AC$1,cleanprovinces!$C$2:$AC$78,"no",0,1))</f>
        <v>22954</v>
      </c>
      <c r="I146" s="4">
        <f t="shared" si="7"/>
        <v>22954000000</v>
      </c>
      <c r="J146" s="3" cm="1">
        <f t="array" ref="J146">_xlfn.XLOOKUP(D146,[3]Sheet1!$B$2:$B$78,_xlfn.XLOOKUP(E146,[3]Sheet1!$C$1:$AC$1,[3]Sheet1!$C$2:$AC$78))</f>
        <v>590</v>
      </c>
      <c r="K146" s="3">
        <f t="shared" si="6"/>
        <v>590000</v>
      </c>
      <c r="L146" s="3">
        <f t="shared" si="8"/>
        <v>38905.08474576271</v>
      </c>
      <c r="M146" s="10">
        <v>102.35067608660199</v>
      </c>
      <c r="N146" s="10">
        <v>13.759621588735801</v>
      </c>
    </row>
    <row r="147" spans="1:14" hidden="1" x14ac:dyDescent="0.3">
      <c r="A147" s="5">
        <v>75</v>
      </c>
      <c r="B147" s="5" t="str">
        <f>_xlfn.XLOOKUP(D147,'[1]Viirs77-Sol'!$C$2:$C$694,'[1]Viirs77-Sol'!$A$2:$A$694)</f>
        <v>TH-27</v>
      </c>
      <c r="C147" s="5" t="str">
        <f>_xlfn.XLOOKUP(D147,cleanprovinces!$B:$B,cleanprovinces!$A:$A)</f>
        <v>EA</v>
      </c>
      <c r="D147" s="5" t="s">
        <v>88</v>
      </c>
      <c r="E147" s="6">
        <v>2015</v>
      </c>
      <c r="F147" s="7" cm="1">
        <f t="array" ref="F147">_xlfn.XLOOKUP(D147&amp;E147,'[1]Viirs77-Sol'!$C$2:$C$694&amp;'[1]Viirs77-Sol'!$D$2:$D$694,'[1]Viirs77-Sol'!$E$2:$E$694)</f>
        <v>8018.1926020000001</v>
      </c>
      <c r="G147" s="7" cm="1">
        <f t="array" ref="G147">_xlfn.XLOOKUP(B147&amp;E147,'[2]Viirs77-Mean'!$A$2:$A$694&amp;'[2]Viirs77-Mean'!$D$2:$D$694,'[2]Viirs77-Mean'!$E$2:$E$694)</f>
        <v>0.26343560500000002</v>
      </c>
      <c r="H147" s="9" cm="1">
        <f t="array" ref="H147">_xlfn.XLOOKUP(D147,cleanprovinces!$B$2:$B$78,_xlfn.XLOOKUP(panel!E147,cleanprovinces!$C$1:$AC$1,cleanprovinces!$C$2:$AC$78,"no",0,1))</f>
        <v>24148</v>
      </c>
      <c r="I147" s="4">
        <f t="shared" si="7"/>
        <v>24148000000</v>
      </c>
      <c r="J147" s="3" cm="1">
        <f t="array" ref="J147">_xlfn.XLOOKUP(D147,[3]Sheet1!$B$2:$B$78,_xlfn.XLOOKUP(E147,[3]Sheet1!$C$1:$AC$1,[3]Sheet1!$C$2:$AC$78))</f>
        <v>599</v>
      </c>
      <c r="K147" s="3">
        <f t="shared" si="6"/>
        <v>599000</v>
      </c>
      <c r="L147" s="3">
        <f t="shared" si="8"/>
        <v>40313.856427378967</v>
      </c>
      <c r="M147" s="10">
        <v>102.35067608660199</v>
      </c>
      <c r="N147" s="10">
        <v>13.759621588735801</v>
      </c>
    </row>
    <row r="148" spans="1:14" hidden="1" x14ac:dyDescent="0.3">
      <c r="A148" s="5">
        <v>75</v>
      </c>
      <c r="B148" s="5" t="str">
        <f>_xlfn.XLOOKUP(D148,'[1]Viirs77-Sol'!$C$2:$C$694,'[1]Viirs77-Sol'!$A$2:$A$694)</f>
        <v>TH-27</v>
      </c>
      <c r="C148" s="5" t="str">
        <f>_xlfn.XLOOKUP(D148,cleanprovinces!$B:$B,cleanprovinces!$A:$A)</f>
        <v>EA</v>
      </c>
      <c r="D148" s="5" t="s">
        <v>88</v>
      </c>
      <c r="E148" s="6">
        <v>2016</v>
      </c>
      <c r="F148" s="7" cm="1">
        <f t="array" ref="F148">_xlfn.XLOOKUP(D148&amp;E148,'[1]Viirs77-Sol'!$C$2:$C$694&amp;'[1]Viirs77-Sol'!$D$2:$D$694,'[1]Viirs77-Sol'!$E$2:$E$694)</f>
        <v>9423.7893170000007</v>
      </c>
      <c r="G148" s="7" cm="1">
        <f t="array" ref="G148">_xlfn.XLOOKUP(B148&amp;E148,'[2]Viirs77-Mean'!$A$2:$A$694&amp;'[2]Viirs77-Mean'!$D$2:$D$694,'[2]Viirs77-Mean'!$E$2:$E$694)</f>
        <v>0.309616114</v>
      </c>
      <c r="H148" s="9" cm="1">
        <f t="array" ref="H148">_xlfn.XLOOKUP(D148,cleanprovinces!$B$2:$B$78,_xlfn.XLOOKUP(panel!E148,cleanprovinces!$C$1:$AC$1,cleanprovinces!$C$2:$AC$78,"no",0,1))</f>
        <v>24908</v>
      </c>
      <c r="I148" s="4">
        <f t="shared" si="7"/>
        <v>24908000000</v>
      </c>
      <c r="J148" s="3" cm="1">
        <f t="array" ref="J148">_xlfn.XLOOKUP(D148,[3]Sheet1!$B$2:$B$78,_xlfn.XLOOKUP(E148,[3]Sheet1!$C$1:$AC$1,[3]Sheet1!$C$2:$AC$78))</f>
        <v>608</v>
      </c>
      <c r="K148" s="3">
        <f t="shared" si="6"/>
        <v>608000</v>
      </c>
      <c r="L148" s="3">
        <f t="shared" si="8"/>
        <v>40967.105263157893</v>
      </c>
      <c r="M148" s="10">
        <v>102.35067608660199</v>
      </c>
      <c r="N148" s="10">
        <v>13.759621588735801</v>
      </c>
    </row>
    <row r="149" spans="1:14" hidden="1" x14ac:dyDescent="0.3">
      <c r="A149" s="5">
        <v>75</v>
      </c>
      <c r="B149" s="5" t="str">
        <f>_xlfn.XLOOKUP(D149,'[1]Viirs77-Sol'!$C$2:$C$694,'[1]Viirs77-Sol'!$A$2:$A$694)</f>
        <v>TH-27</v>
      </c>
      <c r="C149" s="5" t="str">
        <f>_xlfn.XLOOKUP(D149,cleanprovinces!$B:$B,cleanprovinces!$A:$A)</f>
        <v>EA</v>
      </c>
      <c r="D149" s="5" t="s">
        <v>88</v>
      </c>
      <c r="E149" s="6">
        <v>2017</v>
      </c>
      <c r="F149" s="7" cm="1">
        <f t="array" ref="F149">_xlfn.XLOOKUP(D149&amp;E149,'[1]Viirs77-Sol'!$C$2:$C$694&amp;'[1]Viirs77-Sol'!$D$2:$D$694,'[1]Viirs77-Sol'!$E$2:$E$694)</f>
        <v>10919.49221</v>
      </c>
      <c r="G149" s="7" cm="1">
        <f t="array" ref="G149">_xlfn.XLOOKUP(B149&amp;E149,'[2]Viirs77-Mean'!$A$2:$A$694&amp;'[2]Viirs77-Mean'!$D$2:$D$694,'[2]Viirs77-Mean'!$E$2:$E$694)</f>
        <v>0.358757039</v>
      </c>
      <c r="H149" s="9" cm="1">
        <f t="array" ref="H149">_xlfn.XLOOKUP(D149,cleanprovinces!$B$2:$B$78,_xlfn.XLOOKUP(panel!E149,cleanprovinces!$C$1:$AC$1,cleanprovinces!$C$2:$AC$78,"no",0,1))</f>
        <v>26512</v>
      </c>
      <c r="I149" s="4">
        <f t="shared" si="7"/>
        <v>26512000000</v>
      </c>
      <c r="J149" s="3" cm="1">
        <f t="array" ref="J149">_xlfn.XLOOKUP(D149,[3]Sheet1!$B$2:$B$78,_xlfn.XLOOKUP(E149,[3]Sheet1!$C$1:$AC$1,[3]Sheet1!$C$2:$AC$78))</f>
        <v>621</v>
      </c>
      <c r="K149" s="3">
        <f t="shared" si="6"/>
        <v>621000</v>
      </c>
      <c r="L149" s="3">
        <f t="shared" si="8"/>
        <v>42692.431561996782</v>
      </c>
      <c r="M149" s="10">
        <v>102.35067608660199</v>
      </c>
      <c r="N149" s="10">
        <v>13.759621588735801</v>
      </c>
    </row>
    <row r="150" spans="1:14" hidden="1" x14ac:dyDescent="0.3">
      <c r="A150" s="5">
        <v>75</v>
      </c>
      <c r="B150" s="5" t="str">
        <f>_xlfn.XLOOKUP(D150,'[1]Viirs77-Sol'!$C$2:$C$694,'[1]Viirs77-Sol'!$A$2:$A$694)</f>
        <v>TH-27</v>
      </c>
      <c r="C150" s="5" t="str">
        <f>_xlfn.XLOOKUP(D150,cleanprovinces!$B:$B,cleanprovinces!$A:$A)</f>
        <v>EA</v>
      </c>
      <c r="D150" s="5" t="s">
        <v>88</v>
      </c>
      <c r="E150" s="6">
        <v>2018</v>
      </c>
      <c r="F150" s="7" cm="1">
        <f t="array" ref="F150">_xlfn.XLOOKUP(D150&amp;E150,'[1]Viirs77-Sol'!$C$2:$C$694&amp;'[1]Viirs77-Sol'!$D$2:$D$694,'[1]Viirs77-Sol'!$E$2:$E$694)</f>
        <v>12461.28061</v>
      </c>
      <c r="G150" s="7" cm="1">
        <f t="array" ref="G150">_xlfn.XLOOKUP(B150&amp;E150,'[2]Viirs77-Mean'!$A$2:$A$694&amp;'[2]Viirs77-Mean'!$D$2:$D$694,'[2]Viirs77-Mean'!$E$2:$E$694)</f>
        <v>0.40941209000000001</v>
      </c>
      <c r="H150" s="9" cm="1">
        <f t="array" ref="H150">_xlfn.XLOOKUP(D150,cleanprovinces!$B$2:$B$78,_xlfn.XLOOKUP(panel!E150,cleanprovinces!$C$1:$AC$1,cleanprovinces!$C$2:$AC$78,"no",0,1))</f>
        <v>29571</v>
      </c>
      <c r="I150" s="4">
        <f t="shared" si="7"/>
        <v>29571000000</v>
      </c>
      <c r="J150" s="3" cm="1">
        <f t="array" ref="J150">_xlfn.XLOOKUP(D150,[3]Sheet1!$B$2:$B$78,_xlfn.XLOOKUP(E150,[3]Sheet1!$C$1:$AC$1,[3]Sheet1!$C$2:$AC$78))</f>
        <v>630</v>
      </c>
      <c r="K150" s="3">
        <f t="shared" si="6"/>
        <v>630000</v>
      </c>
      <c r="L150" s="3">
        <f t="shared" si="8"/>
        <v>46938.095238095237</v>
      </c>
      <c r="M150" s="10">
        <v>102.35067608660199</v>
      </c>
      <c r="N150" s="10">
        <v>13.759621588735801</v>
      </c>
    </row>
    <row r="151" spans="1:14" hidden="1" x14ac:dyDescent="0.3">
      <c r="A151" s="5">
        <v>75</v>
      </c>
      <c r="B151" s="5" t="str">
        <f>_xlfn.XLOOKUP(D151,'[1]Viirs77-Sol'!$C$2:$C$694,'[1]Viirs77-Sol'!$A$2:$A$694)</f>
        <v>TH-27</v>
      </c>
      <c r="C151" s="5" t="str">
        <f>_xlfn.XLOOKUP(D151,cleanprovinces!$B:$B,cleanprovinces!$A:$A)</f>
        <v>EA</v>
      </c>
      <c r="D151" s="5" t="s">
        <v>88</v>
      </c>
      <c r="E151" s="6">
        <v>2019</v>
      </c>
      <c r="F151" s="7" cm="1">
        <f t="array" ref="F151">_xlfn.XLOOKUP(D151&amp;E151,'[1]Viirs77-Sol'!$C$2:$C$694&amp;'[1]Viirs77-Sol'!$D$2:$D$694,'[1]Viirs77-Sol'!$E$2:$E$694)</f>
        <v>14022.405940000001</v>
      </c>
      <c r="G151" s="7" cm="1">
        <f t="array" ref="G151">_xlfn.XLOOKUP(B151&amp;E151,'[2]Viirs77-Mean'!$A$2:$A$694&amp;'[2]Viirs77-Mean'!$D$2:$D$694,'[2]Viirs77-Mean'!$E$2:$E$694)</f>
        <v>0.46070245199999998</v>
      </c>
      <c r="H151" s="9" cm="1">
        <f t="array" ref="H151">_xlfn.XLOOKUP(D151,cleanprovinces!$B$2:$B$78,_xlfn.XLOOKUP(panel!E151,cleanprovinces!$C$1:$AC$1,cleanprovinces!$C$2:$AC$78,"no",0,1))</f>
        <v>29547</v>
      </c>
      <c r="I151" s="4">
        <f t="shared" si="7"/>
        <v>29547000000</v>
      </c>
      <c r="J151" s="3" cm="1">
        <f t="array" ref="J151">_xlfn.XLOOKUP(D151,[3]Sheet1!$B$2:$B$78,_xlfn.XLOOKUP(E151,[3]Sheet1!$C$1:$AC$1,[3]Sheet1!$C$2:$AC$78))</f>
        <v>639</v>
      </c>
      <c r="K151" s="3">
        <f t="shared" si="6"/>
        <v>639000</v>
      </c>
      <c r="L151" s="3">
        <f t="shared" si="8"/>
        <v>46239.436619718312</v>
      </c>
      <c r="M151" s="10">
        <v>102.35067608660199</v>
      </c>
      <c r="N151" s="10">
        <v>13.759621588735801</v>
      </c>
    </row>
    <row r="152" spans="1:14" hidden="1" x14ac:dyDescent="0.3">
      <c r="A152" s="5">
        <v>75</v>
      </c>
      <c r="B152" s="5" t="str">
        <f>_xlfn.XLOOKUP(D152,'[1]Viirs77-Sol'!$C$2:$C$694,'[1]Viirs77-Sol'!$A$2:$A$694)</f>
        <v>TH-27</v>
      </c>
      <c r="C152" s="5" t="str">
        <f>_xlfn.XLOOKUP(D152,cleanprovinces!$B:$B,cleanprovinces!$A:$A)</f>
        <v>EA</v>
      </c>
      <c r="D152" s="5" t="s">
        <v>88</v>
      </c>
      <c r="E152" s="6">
        <v>2020</v>
      </c>
      <c r="F152" s="7" cm="1">
        <f t="array" ref="F152">_xlfn.XLOOKUP(D152&amp;E152,'[1]Viirs77-Sol'!$C$2:$C$694&amp;'[1]Viirs77-Sol'!$D$2:$D$694,'[1]Viirs77-Sol'!$E$2:$E$694)</f>
        <v>14275.098669999999</v>
      </c>
      <c r="G152" s="7" cm="1">
        <f t="array" ref="G152">_xlfn.XLOOKUP(B152&amp;E152,'[2]Viirs77-Mean'!$A$2:$A$694&amp;'[2]Viirs77-Mean'!$D$2:$D$694,'[2]Viirs77-Mean'!$E$2:$E$694)</f>
        <v>0.46900460500000002</v>
      </c>
      <c r="H152" s="9" cm="1">
        <f t="array" ref="H152">_xlfn.XLOOKUP(D152,cleanprovinces!$B$2:$B$78,_xlfn.XLOOKUP(panel!E152,cleanprovinces!$C$1:$AC$1,cleanprovinces!$C$2:$AC$78,"no",0,1))</f>
        <v>28225</v>
      </c>
      <c r="I152" s="4">
        <f t="shared" si="7"/>
        <v>28225000000</v>
      </c>
      <c r="J152" s="3" cm="1">
        <f t="array" ref="J152">_xlfn.XLOOKUP(D152,[3]Sheet1!$B$2:$B$78,_xlfn.XLOOKUP(E152,[3]Sheet1!$C$1:$AC$1,[3]Sheet1!$C$2:$AC$78))</f>
        <v>647</v>
      </c>
      <c r="K152" s="3">
        <f t="shared" si="6"/>
        <v>647000</v>
      </c>
      <c r="L152" s="3">
        <f t="shared" si="8"/>
        <v>43624.420401854717</v>
      </c>
      <c r="M152" s="10">
        <v>102.35067608660199</v>
      </c>
      <c r="N152" s="10">
        <v>13.759621588735801</v>
      </c>
    </row>
    <row r="153" spans="1:14" hidden="1" x14ac:dyDescent="0.3">
      <c r="A153" s="5">
        <v>75</v>
      </c>
      <c r="B153" s="5" t="str">
        <f>_xlfn.XLOOKUP(D153,'[1]Viirs77-Sol'!$C$2:$C$694,'[1]Viirs77-Sol'!$A$2:$A$694)</f>
        <v>TH-27</v>
      </c>
      <c r="C153" s="5" t="str">
        <f>_xlfn.XLOOKUP(D153,cleanprovinces!$B:$B,cleanprovinces!$A:$A)</f>
        <v>EA</v>
      </c>
      <c r="D153" s="5" t="s">
        <v>88</v>
      </c>
      <c r="E153" s="6">
        <v>2021</v>
      </c>
      <c r="F153" s="7" cm="1">
        <f t="array" ref="F153">_xlfn.XLOOKUP(D153&amp;E153,'[1]Viirs77-Sol'!$C$2:$C$694&amp;'[1]Viirs77-Sol'!$D$2:$D$694,'[1]Viirs77-Sol'!$E$2:$E$694)</f>
        <v>17136.692230000001</v>
      </c>
      <c r="G153" s="7" cm="1">
        <f t="array" ref="G153">_xlfn.XLOOKUP(B153&amp;E153,'[2]Viirs77-Mean'!$A$2:$A$694&amp;'[2]Viirs77-Mean'!$D$2:$D$694,'[2]Viirs77-Mean'!$E$2:$E$694)</f>
        <v>0.56302150699999998</v>
      </c>
      <c r="H153" s="9" cm="1">
        <f t="array" ref="H153">_xlfn.XLOOKUP(D153,cleanprovinces!$B$2:$B$78,_xlfn.XLOOKUP(panel!E153,cleanprovinces!$C$1:$AC$1,cleanprovinces!$C$2:$AC$78,"no",0,1))</f>
        <v>29008</v>
      </c>
      <c r="I153" s="4">
        <f t="shared" si="7"/>
        <v>29008000000</v>
      </c>
      <c r="J153" s="3" cm="1">
        <f t="array" ref="J153">_xlfn.XLOOKUP(D153,[3]Sheet1!$B$2:$B$78,_xlfn.XLOOKUP(E153,[3]Sheet1!$C$1:$AC$1,[3]Sheet1!$C$2:$AC$78))</f>
        <v>656</v>
      </c>
      <c r="K153" s="3">
        <f t="shared" si="6"/>
        <v>656000</v>
      </c>
      <c r="L153" s="3">
        <f t="shared" si="8"/>
        <v>44219.512195121948</v>
      </c>
      <c r="M153" s="10">
        <v>102.35067608660199</v>
      </c>
      <c r="N153" s="10">
        <v>13.759621588735801</v>
      </c>
    </row>
    <row r="154" spans="1:14" hidden="1" x14ac:dyDescent="0.3">
      <c r="A154" s="5">
        <v>29</v>
      </c>
      <c r="B154" s="5" t="str">
        <f>_xlfn.XLOOKUP(D154,'[1]Viirs77-Sol'!$C$2:$C$694,'[1]Viirs77-Sol'!$A$2:$A$694)</f>
        <v>TH-23</v>
      </c>
      <c r="C154" s="5" t="str">
        <f>_xlfn.XLOOKUP(D154,cleanprovinces!$B:$B,cleanprovinces!$A:$A)</f>
        <v>EA</v>
      </c>
      <c r="D154" s="5" t="s">
        <v>84</v>
      </c>
      <c r="E154" s="6">
        <v>2014</v>
      </c>
      <c r="F154" s="7" cm="1">
        <f t="array" ref="F154">_xlfn.XLOOKUP(D154&amp;E154,'[1]Viirs77-Sol'!$C$2:$C$694&amp;'[1]Viirs77-Sol'!$D$2:$D$694,'[1]Viirs77-Sol'!$E$2:$E$694)</f>
        <v>2816.3246939999999</v>
      </c>
      <c r="G154" s="7" cm="1">
        <f t="array" ref="G154">_xlfn.XLOOKUP(B154&amp;E154,'[2]Viirs77-Mean'!$A$2:$A$694&amp;'[2]Viirs77-Mean'!$D$2:$D$694,'[2]Viirs77-Mean'!$E$2:$E$694)</f>
        <v>0.2143417</v>
      </c>
      <c r="H154" s="9" cm="1">
        <f t="array" ref="H154">_xlfn.XLOOKUP(D154,cleanprovinces!$B$2:$B$78,_xlfn.XLOOKUP(panel!E154,cleanprovinces!$C$1:$AC$1,cleanprovinces!$C$2:$AC$78,"no",0,1))</f>
        <v>24820</v>
      </c>
      <c r="I154" s="4">
        <f t="shared" si="7"/>
        <v>24820000000</v>
      </c>
      <c r="J154" s="3" cm="1">
        <f t="array" ref="J154">_xlfn.XLOOKUP(D154,[3]Sheet1!$B$2:$B$78,_xlfn.XLOOKUP(E154,[3]Sheet1!$C$1:$AC$1,[3]Sheet1!$C$2:$AC$78))</f>
        <v>257</v>
      </c>
      <c r="K154" s="3">
        <f t="shared" si="6"/>
        <v>257000</v>
      </c>
      <c r="L154" s="3">
        <f t="shared" si="8"/>
        <v>96575.875486381323</v>
      </c>
      <c r="M154" s="10">
        <v>102.522911271269</v>
      </c>
      <c r="N154" s="10">
        <v>12.3135230231906</v>
      </c>
    </row>
    <row r="155" spans="1:14" hidden="1" x14ac:dyDescent="0.3">
      <c r="A155" s="5">
        <v>29</v>
      </c>
      <c r="B155" s="5" t="str">
        <f>_xlfn.XLOOKUP(D155,'[1]Viirs77-Sol'!$C$2:$C$694,'[1]Viirs77-Sol'!$A$2:$A$694)</f>
        <v>TH-23</v>
      </c>
      <c r="C155" s="5" t="str">
        <f>_xlfn.XLOOKUP(D155,cleanprovinces!$B:$B,cleanprovinces!$A:$A)</f>
        <v>EA</v>
      </c>
      <c r="D155" s="5" t="s">
        <v>84</v>
      </c>
      <c r="E155" s="6">
        <v>2015</v>
      </c>
      <c r="F155" s="7" cm="1">
        <f t="array" ref="F155">_xlfn.XLOOKUP(D155&amp;E155,'[1]Viirs77-Sol'!$C$2:$C$694&amp;'[1]Viirs77-Sol'!$D$2:$D$694,'[1]Viirs77-Sol'!$E$2:$E$694)</f>
        <v>3242.7646199999999</v>
      </c>
      <c r="G155" s="7" cm="1">
        <f t="array" ref="G155">_xlfn.XLOOKUP(B155&amp;E155,'[2]Viirs77-Mean'!$A$2:$A$694&amp;'[2]Viirs77-Mean'!$D$2:$D$694,'[2]Viirs77-Mean'!$E$2:$E$694)</f>
        <v>0.246796714</v>
      </c>
      <c r="H155" s="9" cm="1">
        <f t="array" ref="H155">_xlfn.XLOOKUP(D155,cleanprovinces!$B$2:$B$78,_xlfn.XLOOKUP(panel!E155,cleanprovinces!$C$1:$AC$1,cleanprovinces!$C$2:$AC$78,"no",0,1))</f>
        <v>24316</v>
      </c>
      <c r="I155" s="4">
        <f t="shared" si="7"/>
        <v>24316000000</v>
      </c>
      <c r="J155" s="3" cm="1">
        <f t="array" ref="J155">_xlfn.XLOOKUP(D155,[3]Sheet1!$B$2:$B$78,_xlfn.XLOOKUP(E155,[3]Sheet1!$C$1:$AC$1,[3]Sheet1!$C$2:$AC$78))</f>
        <v>259</v>
      </c>
      <c r="K155" s="3">
        <f t="shared" si="6"/>
        <v>259000</v>
      </c>
      <c r="L155" s="3">
        <f t="shared" si="8"/>
        <v>93884.169884169882</v>
      </c>
      <c r="M155" s="10">
        <v>102.522911271269</v>
      </c>
      <c r="N155" s="10">
        <v>12.3135230231906</v>
      </c>
    </row>
    <row r="156" spans="1:14" hidden="1" x14ac:dyDescent="0.3">
      <c r="A156" s="5">
        <v>29</v>
      </c>
      <c r="B156" s="5" t="str">
        <f>_xlfn.XLOOKUP(D156,'[1]Viirs77-Sol'!$C$2:$C$694,'[1]Viirs77-Sol'!$A$2:$A$694)</f>
        <v>TH-23</v>
      </c>
      <c r="C156" s="5" t="str">
        <f>_xlfn.XLOOKUP(D156,cleanprovinces!$B:$B,cleanprovinces!$A:$A)</f>
        <v>EA</v>
      </c>
      <c r="D156" s="5" t="s">
        <v>84</v>
      </c>
      <c r="E156" s="6">
        <v>2016</v>
      </c>
      <c r="F156" s="7" cm="1">
        <f t="array" ref="F156">_xlfn.XLOOKUP(D156&amp;E156,'[1]Viirs77-Sol'!$C$2:$C$694&amp;'[1]Viirs77-Sol'!$D$2:$D$694,'[1]Viirs77-Sol'!$E$2:$E$694)</f>
        <v>3304.8552789999999</v>
      </c>
      <c r="G156" s="7" cm="1">
        <f t="array" ref="G156">_xlfn.XLOOKUP(B156&amp;E156,'[2]Viirs77-Mean'!$A$2:$A$694&amp;'[2]Viirs77-Mean'!$D$2:$D$694,'[2]Viirs77-Mean'!$E$2:$E$694)</f>
        <v>0.25152224099999998</v>
      </c>
      <c r="H156" s="9" cm="1">
        <f t="array" ref="H156">_xlfn.XLOOKUP(D156,cleanprovinces!$B$2:$B$78,_xlfn.XLOOKUP(panel!E156,cleanprovinces!$C$1:$AC$1,cleanprovinces!$C$2:$AC$78,"no",0,1))</f>
        <v>22610</v>
      </c>
      <c r="I156" s="4">
        <f t="shared" si="7"/>
        <v>22610000000</v>
      </c>
      <c r="J156" s="3" cm="1">
        <f t="array" ref="J156">_xlfn.XLOOKUP(D156,[3]Sheet1!$B$2:$B$78,_xlfn.XLOOKUP(E156,[3]Sheet1!$C$1:$AC$1,[3]Sheet1!$C$2:$AC$78))</f>
        <v>262</v>
      </c>
      <c r="K156" s="3">
        <f t="shared" si="6"/>
        <v>262000</v>
      </c>
      <c r="L156" s="3">
        <f t="shared" si="8"/>
        <v>86297.709923664122</v>
      </c>
      <c r="M156" s="10">
        <v>102.522911271269</v>
      </c>
      <c r="N156" s="10">
        <v>12.3135230231906</v>
      </c>
    </row>
    <row r="157" spans="1:14" hidden="1" x14ac:dyDescent="0.3">
      <c r="A157" s="5">
        <v>29</v>
      </c>
      <c r="B157" s="5" t="str">
        <f>_xlfn.XLOOKUP(D157,'[1]Viirs77-Sol'!$C$2:$C$694,'[1]Viirs77-Sol'!$A$2:$A$694)</f>
        <v>TH-23</v>
      </c>
      <c r="C157" s="5" t="str">
        <f>_xlfn.XLOOKUP(D157,cleanprovinces!$B:$B,cleanprovinces!$A:$A)</f>
        <v>EA</v>
      </c>
      <c r="D157" s="5" t="s">
        <v>84</v>
      </c>
      <c r="E157" s="6">
        <v>2017</v>
      </c>
      <c r="F157" s="7" cm="1">
        <f t="array" ref="F157">_xlfn.XLOOKUP(D157&amp;E157,'[1]Viirs77-Sol'!$C$2:$C$694&amp;'[1]Viirs77-Sol'!$D$2:$D$694,'[1]Viirs77-Sol'!$E$2:$E$694)</f>
        <v>4246.0417649999999</v>
      </c>
      <c r="G157" s="7" cm="1">
        <f t="array" ref="G157">_xlfn.XLOOKUP(B157&amp;E157,'[2]Viirs77-Mean'!$A$2:$A$694&amp;'[2]Viirs77-Mean'!$D$2:$D$694,'[2]Viirs77-Mean'!$E$2:$E$694)</f>
        <v>0.32315301299999999</v>
      </c>
      <c r="H157" s="9" cm="1">
        <f t="array" ref="H157">_xlfn.XLOOKUP(D157,cleanprovinces!$B$2:$B$78,_xlfn.XLOOKUP(panel!E157,cleanprovinces!$C$1:$AC$1,cleanprovinces!$C$2:$AC$78,"no",0,1))</f>
        <v>26272</v>
      </c>
      <c r="I157" s="4">
        <f t="shared" si="7"/>
        <v>26272000000</v>
      </c>
      <c r="J157" s="3" cm="1">
        <f t="array" ref="J157">_xlfn.XLOOKUP(D157,[3]Sheet1!$B$2:$B$78,_xlfn.XLOOKUP(E157,[3]Sheet1!$C$1:$AC$1,[3]Sheet1!$C$2:$AC$78))</f>
        <v>264</v>
      </c>
      <c r="K157" s="3">
        <f t="shared" si="6"/>
        <v>264000</v>
      </c>
      <c r="L157" s="3">
        <f t="shared" si="8"/>
        <v>99515.15151515152</v>
      </c>
      <c r="M157" s="10">
        <v>102.522911271269</v>
      </c>
      <c r="N157" s="10">
        <v>12.3135230231906</v>
      </c>
    </row>
    <row r="158" spans="1:14" hidden="1" x14ac:dyDescent="0.3">
      <c r="A158" s="5">
        <v>29</v>
      </c>
      <c r="B158" s="5" t="str">
        <f>_xlfn.XLOOKUP(D158,'[1]Viirs77-Sol'!$C$2:$C$694,'[1]Viirs77-Sol'!$A$2:$A$694)</f>
        <v>TH-23</v>
      </c>
      <c r="C158" s="5" t="str">
        <f>_xlfn.XLOOKUP(D158,cleanprovinces!$B:$B,cleanprovinces!$A:$A)</f>
        <v>EA</v>
      </c>
      <c r="D158" s="5" t="s">
        <v>84</v>
      </c>
      <c r="E158" s="6">
        <v>2018</v>
      </c>
      <c r="F158" s="7" cm="1">
        <f t="array" ref="F158">_xlfn.XLOOKUP(D158&amp;E158,'[1]Viirs77-Sol'!$C$2:$C$694&amp;'[1]Viirs77-Sol'!$D$2:$D$694,'[1]Viirs77-Sol'!$E$2:$E$694)</f>
        <v>4631.26</v>
      </c>
      <c r="G158" s="7" cm="1">
        <f t="array" ref="G158">_xlfn.XLOOKUP(B158&amp;E158,'[2]Viirs77-Mean'!$A$2:$A$694&amp;'[2]Viirs77-Mean'!$D$2:$D$694,'[2]Viirs77-Mean'!$E$2:$E$694)</f>
        <v>0.35247077300000001</v>
      </c>
      <c r="H158" s="9" cm="1">
        <f t="array" ref="H158">_xlfn.XLOOKUP(D158,cleanprovinces!$B$2:$B$78,_xlfn.XLOOKUP(panel!E158,cleanprovinces!$C$1:$AC$1,cleanprovinces!$C$2:$AC$78,"no",0,1))</f>
        <v>24264</v>
      </c>
      <c r="I158" s="4">
        <f t="shared" si="7"/>
        <v>24264000000</v>
      </c>
      <c r="J158" s="3" cm="1">
        <f t="array" ref="J158">_xlfn.XLOOKUP(D158,[3]Sheet1!$B$2:$B$78,_xlfn.XLOOKUP(E158,[3]Sheet1!$C$1:$AC$1,[3]Sheet1!$C$2:$AC$78))</f>
        <v>267</v>
      </c>
      <c r="K158" s="3">
        <f t="shared" si="6"/>
        <v>267000</v>
      </c>
      <c r="L158" s="3">
        <f t="shared" si="8"/>
        <v>90876.404494382019</v>
      </c>
      <c r="M158" s="10">
        <v>102.522911271269</v>
      </c>
      <c r="N158" s="10">
        <v>12.3135230231906</v>
      </c>
    </row>
    <row r="159" spans="1:14" hidden="1" x14ac:dyDescent="0.3">
      <c r="A159" s="5">
        <v>29</v>
      </c>
      <c r="B159" s="5" t="str">
        <f>_xlfn.XLOOKUP(D159,'[1]Viirs77-Sol'!$C$2:$C$694,'[1]Viirs77-Sol'!$A$2:$A$694)</f>
        <v>TH-23</v>
      </c>
      <c r="C159" s="5" t="str">
        <f>_xlfn.XLOOKUP(D159,cleanprovinces!$B:$B,cleanprovinces!$A:$A)</f>
        <v>EA</v>
      </c>
      <c r="D159" s="5" t="s">
        <v>84</v>
      </c>
      <c r="E159" s="6">
        <v>2019</v>
      </c>
      <c r="F159" s="7" cm="1">
        <f t="array" ref="F159">_xlfn.XLOOKUP(D159&amp;E159,'[1]Viirs77-Sol'!$C$2:$C$694&amp;'[1]Viirs77-Sol'!$D$2:$D$694,'[1]Viirs77-Sol'!$E$2:$E$694)</f>
        <v>5230.4929229999998</v>
      </c>
      <c r="G159" s="7" cm="1">
        <f t="array" ref="G159">_xlfn.XLOOKUP(B159&amp;E159,'[2]Viirs77-Mean'!$A$2:$A$694&amp;'[2]Viirs77-Mean'!$D$2:$D$694,'[2]Viirs77-Mean'!$E$2:$E$694)</f>
        <v>0.39807652399999999</v>
      </c>
      <c r="H159" s="9" cm="1">
        <f t="array" ref="H159">_xlfn.XLOOKUP(D159,cleanprovinces!$B$2:$B$78,_xlfn.XLOOKUP(panel!E159,cleanprovinces!$C$1:$AC$1,cleanprovinces!$C$2:$AC$78,"no",0,1))</f>
        <v>25349</v>
      </c>
      <c r="I159" s="4">
        <f t="shared" si="7"/>
        <v>25349000000</v>
      </c>
      <c r="J159" s="3" cm="1">
        <f t="array" ref="J159">_xlfn.XLOOKUP(D159,[3]Sheet1!$B$2:$B$78,_xlfn.XLOOKUP(E159,[3]Sheet1!$C$1:$AC$1,[3]Sheet1!$C$2:$AC$78))</f>
        <v>270</v>
      </c>
      <c r="K159" s="3">
        <f t="shared" si="6"/>
        <v>270000</v>
      </c>
      <c r="L159" s="3">
        <f t="shared" si="8"/>
        <v>93885.185185185182</v>
      </c>
      <c r="M159" s="10">
        <v>102.522911271269</v>
      </c>
      <c r="N159" s="10">
        <v>12.3135230231906</v>
      </c>
    </row>
    <row r="160" spans="1:14" hidden="1" x14ac:dyDescent="0.3">
      <c r="A160" s="5">
        <v>29</v>
      </c>
      <c r="B160" s="5" t="str">
        <f>_xlfn.XLOOKUP(D160,'[1]Viirs77-Sol'!$C$2:$C$694,'[1]Viirs77-Sol'!$A$2:$A$694)</f>
        <v>TH-23</v>
      </c>
      <c r="C160" s="5" t="str">
        <f>_xlfn.XLOOKUP(D160,cleanprovinces!$B:$B,cleanprovinces!$A:$A)</f>
        <v>EA</v>
      </c>
      <c r="D160" s="5" t="s">
        <v>84</v>
      </c>
      <c r="E160" s="6">
        <v>2020</v>
      </c>
      <c r="F160" s="7" cm="1">
        <f t="array" ref="F160">_xlfn.XLOOKUP(D160&amp;E160,'[1]Viirs77-Sol'!$C$2:$C$694&amp;'[1]Viirs77-Sol'!$D$2:$D$694,'[1]Viirs77-Sol'!$E$2:$E$694)</f>
        <v>5728.156414</v>
      </c>
      <c r="G160" s="7" cm="1">
        <f t="array" ref="G160">_xlfn.XLOOKUP(B160&amp;E160,'[2]Viirs77-Mean'!$A$2:$A$694&amp;'[2]Viirs77-Mean'!$D$2:$D$694,'[2]Viirs77-Mean'!$E$2:$E$694)</f>
        <v>0.43595214199999999</v>
      </c>
      <c r="H160" s="9" cm="1">
        <f t="array" ref="H160">_xlfn.XLOOKUP(D160,cleanprovinces!$B$2:$B$78,_xlfn.XLOOKUP(panel!E160,cleanprovinces!$C$1:$AC$1,cleanprovinces!$C$2:$AC$78,"no",0,1))</f>
        <v>26437</v>
      </c>
      <c r="I160" s="4">
        <f t="shared" si="7"/>
        <v>26437000000</v>
      </c>
      <c r="J160" s="3" cm="1">
        <f t="array" ref="J160">_xlfn.XLOOKUP(D160,[3]Sheet1!$B$2:$B$78,_xlfn.XLOOKUP(E160,[3]Sheet1!$C$1:$AC$1,[3]Sheet1!$C$2:$AC$78))</f>
        <v>272</v>
      </c>
      <c r="K160" s="3">
        <f t="shared" si="6"/>
        <v>272000</v>
      </c>
      <c r="L160" s="3">
        <f t="shared" si="8"/>
        <v>97194.852941176476</v>
      </c>
      <c r="M160" s="10">
        <v>102.522911271269</v>
      </c>
      <c r="N160" s="10">
        <v>12.3135230231906</v>
      </c>
    </row>
    <row r="161" spans="1:14" hidden="1" x14ac:dyDescent="0.3">
      <c r="A161" s="5">
        <v>29</v>
      </c>
      <c r="B161" s="5" t="str">
        <f>_xlfn.XLOOKUP(D161,'[1]Viirs77-Sol'!$C$2:$C$694,'[1]Viirs77-Sol'!$A$2:$A$694)</f>
        <v>TH-23</v>
      </c>
      <c r="C161" s="5" t="str">
        <f>_xlfn.XLOOKUP(D161,cleanprovinces!$B:$B,cleanprovinces!$A:$A)</f>
        <v>EA</v>
      </c>
      <c r="D161" s="5" t="s">
        <v>84</v>
      </c>
      <c r="E161" s="6">
        <v>2021</v>
      </c>
      <c r="F161" s="7" cm="1">
        <f t="array" ref="F161">_xlfn.XLOOKUP(D161&amp;E161,'[1]Viirs77-Sol'!$C$2:$C$694&amp;'[1]Viirs77-Sol'!$D$2:$D$694,'[1]Viirs77-Sol'!$E$2:$E$694)</f>
        <v>6110.4792029999999</v>
      </c>
      <c r="G161" s="7" cm="1">
        <f t="array" ref="G161">_xlfn.XLOOKUP(B161&amp;E161,'[2]Viirs77-Mean'!$A$2:$A$694&amp;'[2]Viirs77-Mean'!$D$2:$D$694,'[2]Viirs77-Mean'!$E$2:$E$694)</f>
        <v>0.46504953900000001</v>
      </c>
      <c r="H161" s="9" cm="1">
        <f t="array" ref="H161">_xlfn.XLOOKUP(D161,cleanprovinces!$B$2:$B$78,_xlfn.XLOOKUP(panel!E161,cleanprovinces!$C$1:$AC$1,cleanprovinces!$C$2:$AC$78,"no",0,1))</f>
        <v>24986</v>
      </c>
      <c r="I161" s="4">
        <f t="shared" si="7"/>
        <v>24986000000</v>
      </c>
      <c r="J161" s="3" cm="1">
        <f t="array" ref="J161">_xlfn.XLOOKUP(D161,[3]Sheet1!$B$2:$B$78,_xlfn.XLOOKUP(E161,[3]Sheet1!$C$1:$AC$1,[3]Sheet1!$C$2:$AC$78))</f>
        <v>275</v>
      </c>
      <c r="K161" s="3">
        <f t="shared" si="6"/>
        <v>275000</v>
      </c>
      <c r="L161" s="3">
        <f t="shared" si="8"/>
        <v>90858.181818181823</v>
      </c>
      <c r="M161" s="10">
        <v>102.522911271269</v>
      </c>
      <c r="N161" s="10">
        <v>12.3135230231906</v>
      </c>
    </row>
    <row r="162" spans="1:14" x14ac:dyDescent="0.3">
      <c r="A162" s="5">
        <v>67</v>
      </c>
      <c r="B162" s="5" t="str">
        <f>_xlfn.XLOOKUP(D162,'[1]Viirs77-Sol'!$C$2:$C$694,'[1]Viirs77-Sol'!$A$2:$A$694)</f>
        <v>TH-37</v>
      </c>
      <c r="C162" s="5" t="str">
        <f>_xlfn.XLOOKUP(D162,cleanprovinces!$B:$B,cleanprovinces!$A:$A)</f>
        <v>NE</v>
      </c>
      <c r="D162" s="5" t="s">
        <v>45</v>
      </c>
      <c r="E162" s="6">
        <v>2014</v>
      </c>
      <c r="F162" s="7" cm="1">
        <f t="array" ref="F162">_xlfn.XLOOKUP(D162&amp;E162,'[1]Viirs77-Sol'!$C$2:$C$694&amp;'[1]Viirs77-Sol'!$D$2:$D$694,'[1]Viirs77-Sol'!$E$2:$E$694)</f>
        <v>3171.605513</v>
      </c>
      <c r="G162" s="7" cm="1">
        <f t="array" ref="G162">_xlfn.XLOOKUP(B162&amp;E162,'[2]Viirs77-Mean'!$A$2:$A$694&amp;'[2]Viirs77-Mean'!$D$2:$D$694,'[2]Viirs77-Mean'!$E$2:$E$694)</f>
        <v>0.200234511</v>
      </c>
      <c r="H162" s="9" cm="1">
        <f t="array" ref="H162">_xlfn.XLOOKUP(D162,cleanprovinces!$B$2:$B$78,_xlfn.XLOOKUP(panel!E162,cleanprovinces!$C$1:$AC$1,cleanprovinces!$C$2:$AC$78,"no",0,1))</f>
        <v>9061</v>
      </c>
      <c r="I162" s="4">
        <f t="shared" si="7"/>
        <v>9061000000</v>
      </c>
      <c r="J162" s="3" cm="1">
        <f t="array" ref="J162">_xlfn.XLOOKUP(D162,[3]Sheet1!$B$2:$B$78,_xlfn.XLOOKUP(E162,[3]Sheet1!$C$1:$AC$1,[3]Sheet1!$C$2:$AC$78))</f>
        <v>283</v>
      </c>
      <c r="K162" s="3">
        <f t="shared" si="6"/>
        <v>283000</v>
      </c>
      <c r="L162" s="3">
        <f t="shared" si="8"/>
        <v>32017.66784452297</v>
      </c>
      <c r="M162" s="10">
        <v>104.743056257508</v>
      </c>
      <c r="N162" s="10">
        <v>15.8978546269019</v>
      </c>
    </row>
    <row r="163" spans="1:14" x14ac:dyDescent="0.3">
      <c r="A163" s="5">
        <v>67</v>
      </c>
      <c r="B163" s="5" t="str">
        <f>_xlfn.XLOOKUP(D163,'[1]Viirs77-Sol'!$C$2:$C$694,'[1]Viirs77-Sol'!$A$2:$A$694)</f>
        <v>TH-37</v>
      </c>
      <c r="C163" s="5" t="str">
        <f>_xlfn.XLOOKUP(D163,cleanprovinces!$B:$B,cleanprovinces!$A:$A)</f>
        <v>NE</v>
      </c>
      <c r="D163" s="5" t="s">
        <v>45</v>
      </c>
      <c r="E163" s="6">
        <v>2015</v>
      </c>
      <c r="F163" s="7" cm="1">
        <f t="array" ref="F163">_xlfn.XLOOKUP(D163&amp;E163,'[1]Viirs77-Sol'!$C$2:$C$694&amp;'[1]Viirs77-Sol'!$D$2:$D$694,'[1]Viirs77-Sol'!$E$2:$E$694)</f>
        <v>3788.2182619999999</v>
      </c>
      <c r="G163" s="7" cm="1">
        <f t="array" ref="G163">_xlfn.XLOOKUP(B163&amp;E163,'[2]Viirs77-Mean'!$A$2:$A$694&amp;'[2]Viirs77-Mean'!$D$2:$D$694,'[2]Viirs77-Mean'!$E$2:$E$694)</f>
        <v>0.23916342400000001</v>
      </c>
      <c r="H163" s="9" cm="1">
        <f t="array" ref="H163">_xlfn.XLOOKUP(D163,cleanprovinces!$B$2:$B$78,_xlfn.XLOOKUP(panel!E163,cleanprovinces!$C$1:$AC$1,cleanprovinces!$C$2:$AC$78,"no",0,1))</f>
        <v>9449</v>
      </c>
      <c r="I163" s="4">
        <f t="shared" si="7"/>
        <v>9449000000</v>
      </c>
      <c r="J163" s="3" cm="1">
        <f t="array" ref="J163">_xlfn.XLOOKUP(D163,[3]Sheet1!$B$2:$B$78,_xlfn.XLOOKUP(E163,[3]Sheet1!$C$1:$AC$1,[3]Sheet1!$C$2:$AC$78))</f>
        <v>283</v>
      </c>
      <c r="K163" s="3">
        <f t="shared" si="6"/>
        <v>283000</v>
      </c>
      <c r="L163" s="3">
        <f t="shared" si="8"/>
        <v>33388.692579505303</v>
      </c>
      <c r="M163" s="10">
        <v>104.743056257508</v>
      </c>
      <c r="N163" s="10">
        <v>15.8978546269019</v>
      </c>
    </row>
    <row r="164" spans="1:14" x14ac:dyDescent="0.3">
      <c r="A164" s="5">
        <v>67</v>
      </c>
      <c r="B164" s="5" t="str">
        <f>_xlfn.XLOOKUP(D164,'[1]Viirs77-Sol'!$C$2:$C$694,'[1]Viirs77-Sol'!$A$2:$A$694)</f>
        <v>TH-37</v>
      </c>
      <c r="C164" s="5" t="str">
        <f>_xlfn.XLOOKUP(D164,cleanprovinces!$B:$B,cleanprovinces!$A:$A)</f>
        <v>NE</v>
      </c>
      <c r="D164" s="5" t="s">
        <v>45</v>
      </c>
      <c r="E164" s="6">
        <v>2016</v>
      </c>
      <c r="F164" s="7" cm="1">
        <f t="array" ref="F164">_xlfn.XLOOKUP(D164&amp;E164,'[1]Viirs77-Sol'!$C$2:$C$694&amp;'[1]Viirs77-Sol'!$D$2:$D$694,'[1]Viirs77-Sol'!$E$2:$E$694)</f>
        <v>3763.47721</v>
      </c>
      <c r="G164" s="7" cm="1">
        <f t="array" ref="G164">_xlfn.XLOOKUP(B164&amp;E164,'[2]Viirs77-Mean'!$A$2:$A$694&amp;'[2]Viirs77-Mean'!$D$2:$D$694,'[2]Viirs77-Mean'!$E$2:$E$694)</f>
        <v>0.237601435</v>
      </c>
      <c r="H164" s="9" cm="1">
        <f t="array" ref="H164">_xlfn.XLOOKUP(D164,cleanprovinces!$B$2:$B$78,_xlfn.XLOOKUP(panel!E164,cleanprovinces!$C$1:$AC$1,cleanprovinces!$C$2:$AC$78,"no",0,1))</f>
        <v>9821</v>
      </c>
      <c r="I164" s="4">
        <f t="shared" si="7"/>
        <v>9821000000</v>
      </c>
      <c r="J164" s="3" cm="1">
        <f t="array" ref="J164">_xlfn.XLOOKUP(D164,[3]Sheet1!$B$2:$B$78,_xlfn.XLOOKUP(E164,[3]Sheet1!$C$1:$AC$1,[3]Sheet1!$C$2:$AC$78))</f>
        <v>283</v>
      </c>
      <c r="K164" s="3">
        <f t="shared" si="6"/>
        <v>283000</v>
      </c>
      <c r="L164" s="3">
        <f t="shared" si="8"/>
        <v>34703.180212014136</v>
      </c>
      <c r="M164" s="10">
        <v>104.743056257508</v>
      </c>
      <c r="N164" s="10">
        <v>15.8978546269019</v>
      </c>
    </row>
    <row r="165" spans="1:14" x14ac:dyDescent="0.3">
      <c r="A165" s="5">
        <v>67</v>
      </c>
      <c r="B165" s="5" t="str">
        <f>_xlfn.XLOOKUP(D165,'[1]Viirs77-Sol'!$C$2:$C$694,'[1]Viirs77-Sol'!$A$2:$A$694)</f>
        <v>TH-37</v>
      </c>
      <c r="C165" s="5" t="str">
        <f>_xlfn.XLOOKUP(D165,cleanprovinces!$B:$B,cleanprovinces!$A:$A)</f>
        <v>NE</v>
      </c>
      <c r="D165" s="5" t="s">
        <v>45</v>
      </c>
      <c r="E165" s="6">
        <v>2017</v>
      </c>
      <c r="F165" s="7" cm="1">
        <f t="array" ref="F165">_xlfn.XLOOKUP(D165&amp;E165,'[1]Viirs77-Sol'!$C$2:$C$694&amp;'[1]Viirs77-Sol'!$D$2:$D$694,'[1]Viirs77-Sol'!$E$2:$E$694)</f>
        <v>5706.2851069999997</v>
      </c>
      <c r="G165" s="7" cm="1">
        <f t="array" ref="G165">_xlfn.XLOOKUP(B165&amp;E165,'[2]Viirs77-Mean'!$A$2:$A$694&amp;'[2]Viirs77-Mean'!$D$2:$D$694,'[2]Viirs77-Mean'!$E$2:$E$694)</f>
        <v>0.360257669</v>
      </c>
      <c r="H165" s="9" cm="1">
        <f t="array" ref="H165">_xlfn.XLOOKUP(D165,cleanprovinces!$B$2:$B$78,_xlfn.XLOOKUP(panel!E165,cleanprovinces!$C$1:$AC$1,cleanprovinces!$C$2:$AC$78,"no",0,1))</f>
        <v>10263</v>
      </c>
      <c r="I165" s="4">
        <f t="shared" si="7"/>
        <v>10263000000</v>
      </c>
      <c r="J165" s="3" cm="1">
        <f t="array" ref="J165">_xlfn.XLOOKUP(D165,[3]Sheet1!$B$2:$B$78,_xlfn.XLOOKUP(E165,[3]Sheet1!$C$1:$AC$1,[3]Sheet1!$C$2:$AC$78))</f>
        <v>283</v>
      </c>
      <c r="K165" s="3">
        <f t="shared" si="6"/>
        <v>283000</v>
      </c>
      <c r="L165" s="3">
        <f t="shared" si="8"/>
        <v>36265.01766784452</v>
      </c>
      <c r="M165" s="10">
        <v>104.743056257508</v>
      </c>
      <c r="N165" s="10">
        <v>15.8978546269019</v>
      </c>
    </row>
    <row r="166" spans="1:14" x14ac:dyDescent="0.3">
      <c r="A166" s="5">
        <v>67</v>
      </c>
      <c r="B166" s="5" t="str">
        <f>_xlfn.XLOOKUP(D166,'[1]Viirs77-Sol'!$C$2:$C$694,'[1]Viirs77-Sol'!$A$2:$A$694)</f>
        <v>TH-37</v>
      </c>
      <c r="C166" s="5" t="str">
        <f>_xlfn.XLOOKUP(D166,cleanprovinces!$B:$B,cleanprovinces!$A:$A)</f>
        <v>NE</v>
      </c>
      <c r="D166" s="5" t="s">
        <v>45</v>
      </c>
      <c r="E166" s="6">
        <v>2018</v>
      </c>
      <c r="F166" s="7" cm="1">
        <f t="array" ref="F166">_xlfn.XLOOKUP(D166&amp;E166,'[1]Viirs77-Sol'!$C$2:$C$694&amp;'[1]Viirs77-Sol'!$D$2:$D$694,'[1]Viirs77-Sol'!$E$2:$E$694)</f>
        <v>6163.2699210000001</v>
      </c>
      <c r="G166" s="7" cm="1">
        <f t="array" ref="G166">_xlfn.XLOOKUP(B166&amp;E166,'[2]Viirs77-Mean'!$A$2:$A$694&amp;'[2]Viirs77-Mean'!$D$2:$D$694,'[2]Viirs77-Mean'!$E$2:$E$694)</f>
        <v>0.38910871400000002</v>
      </c>
      <c r="H166" s="9" cm="1">
        <f t="array" ref="H166">_xlfn.XLOOKUP(D166,cleanprovinces!$B$2:$B$78,_xlfn.XLOOKUP(panel!E166,cleanprovinces!$C$1:$AC$1,cleanprovinces!$C$2:$AC$78,"no",0,1))</f>
        <v>10951</v>
      </c>
      <c r="I166" s="4">
        <f t="shared" si="7"/>
        <v>10951000000</v>
      </c>
      <c r="J166" s="3" cm="1">
        <f t="array" ref="J166">_xlfn.XLOOKUP(D166,[3]Sheet1!$B$2:$B$78,_xlfn.XLOOKUP(E166,[3]Sheet1!$C$1:$AC$1,[3]Sheet1!$C$2:$AC$78))</f>
        <v>282</v>
      </c>
      <c r="K166" s="3">
        <f t="shared" si="6"/>
        <v>282000</v>
      </c>
      <c r="L166" s="3">
        <f t="shared" si="8"/>
        <v>38833.333333333336</v>
      </c>
      <c r="M166" s="10">
        <v>104.743056257508</v>
      </c>
      <c r="N166" s="10">
        <v>15.8978546269019</v>
      </c>
    </row>
    <row r="167" spans="1:14" x14ac:dyDescent="0.3">
      <c r="A167" s="5">
        <v>67</v>
      </c>
      <c r="B167" s="5" t="str">
        <f>_xlfn.XLOOKUP(D167,'[1]Viirs77-Sol'!$C$2:$C$694,'[1]Viirs77-Sol'!$A$2:$A$694)</f>
        <v>TH-37</v>
      </c>
      <c r="C167" s="5" t="str">
        <f>_xlfn.XLOOKUP(D167,cleanprovinces!$B:$B,cleanprovinces!$A:$A)</f>
        <v>NE</v>
      </c>
      <c r="D167" s="5" t="s">
        <v>45</v>
      </c>
      <c r="E167" s="6">
        <v>2019</v>
      </c>
      <c r="F167" s="7" cm="1">
        <f t="array" ref="F167">_xlfn.XLOOKUP(D167&amp;E167,'[1]Viirs77-Sol'!$C$2:$C$694&amp;'[1]Viirs77-Sol'!$D$2:$D$694,'[1]Viirs77-Sol'!$E$2:$E$694)</f>
        <v>6460.4952869999997</v>
      </c>
      <c r="G167" s="7" cm="1">
        <f t="array" ref="G167">_xlfn.XLOOKUP(B167&amp;E167,'[2]Viirs77-Mean'!$A$2:$A$694&amp;'[2]Viirs77-Mean'!$D$2:$D$694,'[2]Viirs77-Mean'!$E$2:$E$694)</f>
        <v>0.40787358699999998</v>
      </c>
      <c r="H167" s="9" cm="1">
        <f t="array" ref="H167">_xlfn.XLOOKUP(D167,cleanprovinces!$B$2:$B$78,_xlfn.XLOOKUP(panel!E167,cleanprovinces!$C$1:$AC$1,cleanprovinces!$C$2:$AC$78,"no",0,1))</f>
        <v>11329</v>
      </c>
      <c r="I167" s="4">
        <f t="shared" si="7"/>
        <v>11329000000</v>
      </c>
      <c r="J167" s="3" cm="1">
        <f t="array" ref="J167">_xlfn.XLOOKUP(D167,[3]Sheet1!$B$2:$B$78,_xlfn.XLOOKUP(E167,[3]Sheet1!$C$1:$AC$1,[3]Sheet1!$C$2:$AC$78))</f>
        <v>282</v>
      </c>
      <c r="K167" s="3">
        <f t="shared" si="6"/>
        <v>282000</v>
      </c>
      <c r="L167" s="3">
        <f t="shared" si="8"/>
        <v>40173.75886524823</v>
      </c>
      <c r="M167" s="10">
        <v>104.743056257508</v>
      </c>
      <c r="N167" s="10">
        <v>15.8978546269019</v>
      </c>
    </row>
    <row r="168" spans="1:14" x14ac:dyDescent="0.3">
      <c r="A168" s="5">
        <v>67</v>
      </c>
      <c r="B168" s="5" t="str">
        <f>_xlfn.XLOOKUP(D168,'[1]Viirs77-Sol'!$C$2:$C$694,'[1]Viirs77-Sol'!$A$2:$A$694)</f>
        <v>TH-37</v>
      </c>
      <c r="C168" s="5" t="str">
        <f>_xlfn.XLOOKUP(D168,cleanprovinces!$B:$B,cleanprovinces!$A:$A)</f>
        <v>NE</v>
      </c>
      <c r="D168" s="5" t="s">
        <v>45</v>
      </c>
      <c r="E168" s="6">
        <v>2020</v>
      </c>
      <c r="F168" s="7" cm="1">
        <f t="array" ref="F168">_xlfn.XLOOKUP(D168&amp;E168,'[1]Viirs77-Sol'!$C$2:$C$694&amp;'[1]Viirs77-Sol'!$D$2:$D$694,'[1]Viirs77-Sol'!$E$2:$E$694)</f>
        <v>7846.7885770000003</v>
      </c>
      <c r="G168" s="7" cm="1">
        <f t="array" ref="G168">_xlfn.XLOOKUP(B168&amp;E168,'[2]Viirs77-Mean'!$A$2:$A$694&amp;'[2]Viirs77-Mean'!$D$2:$D$694,'[2]Viirs77-Mean'!$E$2:$E$694)</f>
        <v>0.495395115</v>
      </c>
      <c r="H168" s="9" cm="1">
        <f t="array" ref="H168">_xlfn.XLOOKUP(D168,cleanprovinces!$B$2:$B$78,_xlfn.XLOOKUP(panel!E168,cleanprovinces!$C$1:$AC$1,cleanprovinces!$C$2:$AC$78,"no",0,1))</f>
        <v>11493</v>
      </c>
      <c r="I168" s="4">
        <f t="shared" si="7"/>
        <v>11493000000</v>
      </c>
      <c r="J168" s="3" cm="1">
        <f t="array" ref="J168">_xlfn.XLOOKUP(D168,[3]Sheet1!$B$2:$B$78,_xlfn.XLOOKUP(E168,[3]Sheet1!$C$1:$AC$1,[3]Sheet1!$C$2:$AC$78))</f>
        <v>282</v>
      </c>
      <c r="K168" s="3">
        <f t="shared" si="6"/>
        <v>282000</v>
      </c>
      <c r="L168" s="3">
        <f t="shared" si="8"/>
        <v>40755.319148936171</v>
      </c>
      <c r="M168" s="10">
        <v>104.743056257508</v>
      </c>
      <c r="N168" s="10">
        <v>15.8978546269019</v>
      </c>
    </row>
    <row r="169" spans="1:14" x14ac:dyDescent="0.3">
      <c r="A169" s="5">
        <v>67</v>
      </c>
      <c r="B169" s="5" t="str">
        <f>_xlfn.XLOOKUP(D169,'[1]Viirs77-Sol'!$C$2:$C$694,'[1]Viirs77-Sol'!$A$2:$A$694)</f>
        <v>TH-37</v>
      </c>
      <c r="C169" s="5" t="str">
        <f>_xlfn.XLOOKUP(D169,cleanprovinces!$B:$B,cleanprovinces!$A:$A)</f>
        <v>NE</v>
      </c>
      <c r="D169" s="5" t="s">
        <v>45</v>
      </c>
      <c r="E169" s="6">
        <v>2021</v>
      </c>
      <c r="F169" s="7" cm="1">
        <f t="array" ref="F169">_xlfn.XLOOKUP(D169&amp;E169,'[1]Viirs77-Sol'!$C$2:$C$694&amp;'[1]Viirs77-Sol'!$D$2:$D$694,'[1]Viirs77-Sol'!$E$2:$E$694)</f>
        <v>8979.0121099999997</v>
      </c>
      <c r="G169" s="7" cm="1">
        <f t="array" ref="G169">_xlfn.XLOOKUP(B169&amp;E169,'[2]Viirs77-Mean'!$A$2:$A$694&amp;'[2]Viirs77-Mean'!$D$2:$D$694,'[2]Viirs77-Mean'!$E$2:$E$694)</f>
        <v>0.56687633299999995</v>
      </c>
      <c r="H169" s="9" cm="1">
        <f t="array" ref="H169">_xlfn.XLOOKUP(D169,cleanprovinces!$B$2:$B$78,_xlfn.XLOOKUP(panel!E169,cleanprovinces!$C$1:$AC$1,cleanprovinces!$C$2:$AC$78,"no",0,1))</f>
        <v>12196</v>
      </c>
      <c r="I169" s="4">
        <f t="shared" si="7"/>
        <v>12196000000</v>
      </c>
      <c r="J169" s="3" cm="1">
        <f t="array" ref="J169">_xlfn.XLOOKUP(D169,[3]Sheet1!$B$2:$B$78,_xlfn.XLOOKUP(E169,[3]Sheet1!$C$1:$AC$1,[3]Sheet1!$C$2:$AC$78))</f>
        <v>282</v>
      </c>
      <c r="K169" s="3">
        <f t="shared" si="6"/>
        <v>282000</v>
      </c>
      <c r="L169" s="3">
        <f t="shared" si="8"/>
        <v>43248.226950354612</v>
      </c>
      <c r="M169" s="10">
        <v>104.743056257508</v>
      </c>
      <c r="N169" s="10">
        <v>15.8978546269019</v>
      </c>
    </row>
    <row r="170" spans="1:14" hidden="1" x14ac:dyDescent="0.3">
      <c r="A170" s="5">
        <v>39</v>
      </c>
      <c r="B170" s="5" t="str">
        <f>_xlfn.XLOOKUP(D170,'[1]Viirs77-Sol'!$C$2:$C$694,'[1]Viirs77-Sol'!$A$2:$A$694)</f>
        <v>TH-38</v>
      </c>
      <c r="C170" s="5" t="str">
        <f>_xlfn.XLOOKUP(D170,cleanprovinces!$B:$B,cleanprovinces!$A:$A)</f>
        <v>NE</v>
      </c>
      <c r="D170" s="5" t="s">
        <v>46</v>
      </c>
      <c r="E170" s="6">
        <v>2014</v>
      </c>
      <c r="F170" s="7" cm="1">
        <f t="array" ref="F170">_xlfn.XLOOKUP(D170&amp;E170,'[1]Viirs77-Sol'!$C$2:$C$694&amp;'[1]Viirs77-Sol'!$D$2:$D$694,'[1]Viirs77-Sol'!$E$2:$E$694)</f>
        <v>3078.0303239999998</v>
      </c>
      <c r="G170" s="7" cm="1">
        <f t="array" ref="G170">_xlfn.XLOOKUP(B170&amp;E170,'[2]Viirs77-Mean'!$A$2:$A$694&amp;'[2]Viirs77-Mean'!$D$2:$D$694,'[2]Viirs77-Mean'!$E$2:$E$694)</f>
        <v>0.15528823999999999</v>
      </c>
      <c r="H170" s="9" cm="1">
        <f t="array" ref="H170">_xlfn.XLOOKUP(D170,cleanprovinces!$B$2:$B$78,_xlfn.XLOOKUP(panel!E170,cleanprovinces!$C$1:$AC$1,cleanprovinces!$C$2:$AC$78,"no",0,1))</f>
        <v>26469</v>
      </c>
      <c r="I170" s="4">
        <f t="shared" si="7"/>
        <v>26469000000</v>
      </c>
      <c r="J170" s="3" cm="1">
        <f t="array" ref="J170">_xlfn.XLOOKUP(D170,[3]Sheet1!$B$2:$B$78,_xlfn.XLOOKUP(E170,[3]Sheet1!$C$1:$AC$1,[3]Sheet1!$C$2:$AC$78))</f>
        <v>363</v>
      </c>
      <c r="K170" s="3">
        <f t="shared" si="6"/>
        <v>363000</v>
      </c>
      <c r="L170" s="3">
        <f t="shared" si="8"/>
        <v>72917.35537190082</v>
      </c>
      <c r="M170" s="10">
        <v>103.713301795894</v>
      </c>
      <c r="N170" s="10">
        <v>18.146621067507599</v>
      </c>
    </row>
    <row r="171" spans="1:14" hidden="1" x14ac:dyDescent="0.3">
      <c r="A171" s="5">
        <v>39</v>
      </c>
      <c r="B171" s="5" t="str">
        <f>_xlfn.XLOOKUP(D171,'[1]Viirs77-Sol'!$C$2:$C$694,'[1]Viirs77-Sol'!$A$2:$A$694)</f>
        <v>TH-38</v>
      </c>
      <c r="C171" s="5" t="str">
        <f>_xlfn.XLOOKUP(D171,cleanprovinces!$B:$B,cleanprovinces!$A:$A)</f>
        <v>NE</v>
      </c>
      <c r="D171" s="5" t="s">
        <v>46</v>
      </c>
      <c r="E171" s="6">
        <v>2015</v>
      </c>
      <c r="F171" s="7" cm="1">
        <f t="array" ref="F171">_xlfn.XLOOKUP(D171&amp;E171,'[1]Viirs77-Sol'!$C$2:$C$694&amp;'[1]Viirs77-Sol'!$D$2:$D$694,'[1]Viirs77-Sol'!$E$2:$E$694)</f>
        <v>3755.7650819999999</v>
      </c>
      <c r="G171" s="7" cm="1">
        <f t="array" ref="G171">_xlfn.XLOOKUP(B171&amp;E171,'[2]Viirs77-Mean'!$A$2:$A$694&amp;'[2]Viirs77-Mean'!$D$2:$D$694,'[2]Viirs77-Mean'!$E$2:$E$694)</f>
        <v>0.18948031300000001</v>
      </c>
      <c r="H171" s="9" cm="1">
        <f t="array" ref="H171">_xlfn.XLOOKUP(D171,cleanprovinces!$B$2:$B$78,_xlfn.XLOOKUP(panel!E171,cleanprovinces!$C$1:$AC$1,cleanprovinces!$C$2:$AC$78,"no",0,1))</f>
        <v>29800</v>
      </c>
      <c r="I171" s="4">
        <f t="shared" si="7"/>
        <v>29800000000</v>
      </c>
      <c r="J171" s="3" cm="1">
        <f t="array" ref="J171">_xlfn.XLOOKUP(D171,[3]Sheet1!$B$2:$B$78,_xlfn.XLOOKUP(E171,[3]Sheet1!$C$1:$AC$1,[3]Sheet1!$C$2:$AC$78))</f>
        <v>363</v>
      </c>
      <c r="K171" s="3">
        <f t="shared" si="6"/>
        <v>363000</v>
      </c>
      <c r="L171" s="3">
        <f t="shared" si="8"/>
        <v>82093.663911845724</v>
      </c>
      <c r="M171" s="10">
        <v>103.713301795894</v>
      </c>
      <c r="N171" s="10">
        <v>18.146621067507599</v>
      </c>
    </row>
    <row r="172" spans="1:14" hidden="1" x14ac:dyDescent="0.3">
      <c r="A172" s="5">
        <v>39</v>
      </c>
      <c r="B172" s="5" t="str">
        <f>_xlfn.XLOOKUP(D172,'[1]Viirs77-Sol'!$C$2:$C$694,'[1]Viirs77-Sol'!$A$2:$A$694)</f>
        <v>TH-38</v>
      </c>
      <c r="C172" s="5" t="str">
        <f>_xlfn.XLOOKUP(D172,cleanprovinces!$B:$B,cleanprovinces!$A:$A)</f>
        <v>NE</v>
      </c>
      <c r="D172" s="5" t="s">
        <v>46</v>
      </c>
      <c r="E172" s="6">
        <v>2016</v>
      </c>
      <c r="F172" s="7" cm="1">
        <f t="array" ref="F172">_xlfn.XLOOKUP(D172&amp;E172,'[1]Viirs77-Sol'!$C$2:$C$694&amp;'[1]Viirs77-Sol'!$D$2:$D$694,'[1]Viirs77-Sol'!$E$2:$E$694)</f>
        <v>4004.534314</v>
      </c>
      <c r="G172" s="7" cm="1">
        <f t="array" ref="G172">_xlfn.XLOOKUP(B172&amp;E172,'[2]Viirs77-Mean'!$A$2:$A$694&amp;'[2]Viirs77-Mean'!$D$2:$D$694,'[2]Viirs77-Mean'!$E$2:$E$694)</f>
        <v>0.20203085100000001</v>
      </c>
      <c r="H172" s="9" cm="1">
        <f t="array" ref="H172">_xlfn.XLOOKUP(D172,cleanprovinces!$B$2:$B$78,_xlfn.XLOOKUP(panel!E172,cleanprovinces!$C$1:$AC$1,cleanprovinces!$C$2:$AC$78,"no",0,1))</f>
        <v>31073</v>
      </c>
      <c r="I172" s="4">
        <f t="shared" si="7"/>
        <v>31073000000</v>
      </c>
      <c r="J172" s="3" cm="1">
        <f t="array" ref="J172">_xlfn.XLOOKUP(D172,[3]Sheet1!$B$2:$B$78,_xlfn.XLOOKUP(E172,[3]Sheet1!$C$1:$AC$1,[3]Sheet1!$C$2:$AC$78))</f>
        <v>362</v>
      </c>
      <c r="K172" s="3">
        <f t="shared" si="6"/>
        <v>362000</v>
      </c>
      <c r="L172" s="3">
        <f t="shared" si="8"/>
        <v>85837.016574585636</v>
      </c>
      <c r="M172" s="10">
        <v>103.713301795894</v>
      </c>
      <c r="N172" s="10">
        <v>18.146621067507599</v>
      </c>
    </row>
    <row r="173" spans="1:14" hidden="1" x14ac:dyDescent="0.3">
      <c r="A173" s="5">
        <v>39</v>
      </c>
      <c r="B173" s="5" t="str">
        <f>_xlfn.XLOOKUP(D173,'[1]Viirs77-Sol'!$C$2:$C$694,'[1]Viirs77-Sol'!$A$2:$A$694)</f>
        <v>TH-38</v>
      </c>
      <c r="C173" s="5" t="str">
        <f>_xlfn.XLOOKUP(D173,cleanprovinces!$B:$B,cleanprovinces!$A:$A)</f>
        <v>NE</v>
      </c>
      <c r="D173" s="5" t="s">
        <v>46</v>
      </c>
      <c r="E173" s="6">
        <v>2017</v>
      </c>
      <c r="F173" s="7" cm="1">
        <f t="array" ref="F173">_xlfn.XLOOKUP(D173&amp;E173,'[1]Viirs77-Sol'!$C$2:$C$694&amp;'[1]Viirs77-Sol'!$D$2:$D$694,'[1]Viirs77-Sol'!$E$2:$E$694)</f>
        <v>6291.9571809999998</v>
      </c>
      <c r="G173" s="7" cm="1">
        <f t="array" ref="G173">_xlfn.XLOOKUP(B173&amp;E173,'[2]Viirs77-Mean'!$A$2:$A$694&amp;'[2]Viirs77-Mean'!$D$2:$D$694,'[2]Viirs77-Mean'!$E$2:$E$694)</f>
        <v>0.31743253199999999</v>
      </c>
      <c r="H173" s="9" cm="1">
        <f t="array" ref="H173">_xlfn.XLOOKUP(D173,cleanprovinces!$B$2:$B$78,_xlfn.XLOOKUP(panel!E173,cleanprovinces!$C$1:$AC$1,cleanprovinces!$C$2:$AC$78,"no",0,1))</f>
        <v>33716</v>
      </c>
      <c r="I173" s="4">
        <f t="shared" si="7"/>
        <v>33716000000</v>
      </c>
      <c r="J173" s="3" cm="1">
        <f t="array" ref="J173">_xlfn.XLOOKUP(D173,[3]Sheet1!$B$2:$B$78,_xlfn.XLOOKUP(E173,[3]Sheet1!$C$1:$AC$1,[3]Sheet1!$C$2:$AC$78))</f>
        <v>361</v>
      </c>
      <c r="K173" s="3">
        <f t="shared" si="6"/>
        <v>361000</v>
      </c>
      <c r="L173" s="3">
        <f t="shared" si="8"/>
        <v>93396.121883656509</v>
      </c>
      <c r="M173" s="10">
        <v>103.713301795894</v>
      </c>
      <c r="N173" s="10">
        <v>18.146621067507599</v>
      </c>
    </row>
    <row r="174" spans="1:14" hidden="1" x14ac:dyDescent="0.3">
      <c r="A174" s="5">
        <v>39</v>
      </c>
      <c r="B174" s="5" t="str">
        <f>_xlfn.XLOOKUP(D174,'[1]Viirs77-Sol'!$C$2:$C$694,'[1]Viirs77-Sol'!$A$2:$A$694)</f>
        <v>TH-38</v>
      </c>
      <c r="C174" s="5" t="str">
        <f>_xlfn.XLOOKUP(D174,cleanprovinces!$B:$B,cleanprovinces!$A:$A)</f>
        <v>NE</v>
      </c>
      <c r="D174" s="5" t="s">
        <v>46</v>
      </c>
      <c r="E174" s="6">
        <v>2018</v>
      </c>
      <c r="F174" s="7" cm="1">
        <f t="array" ref="F174">_xlfn.XLOOKUP(D174&amp;E174,'[1]Viirs77-Sol'!$C$2:$C$694&amp;'[1]Viirs77-Sol'!$D$2:$D$694,'[1]Viirs77-Sol'!$E$2:$E$694)</f>
        <v>6622.8024370000003</v>
      </c>
      <c r="G174" s="7" cm="1">
        <f t="array" ref="G174">_xlfn.XLOOKUP(B174&amp;E174,'[2]Viirs77-Mean'!$A$2:$A$694&amp;'[2]Viirs77-Mean'!$D$2:$D$694,'[2]Viirs77-Mean'!$E$2:$E$694)</f>
        <v>0.334123848</v>
      </c>
      <c r="H174" s="9" cm="1">
        <f t="array" ref="H174">_xlfn.XLOOKUP(D174,cleanprovinces!$B$2:$B$78,_xlfn.XLOOKUP(panel!E174,cleanprovinces!$C$1:$AC$1,cleanprovinces!$C$2:$AC$78,"no",0,1))</f>
        <v>33344</v>
      </c>
      <c r="I174" s="4">
        <f t="shared" si="7"/>
        <v>33344000000</v>
      </c>
      <c r="J174" s="3" cm="1">
        <f t="array" ref="J174">_xlfn.XLOOKUP(D174,[3]Sheet1!$B$2:$B$78,_xlfn.XLOOKUP(E174,[3]Sheet1!$C$1:$AC$1,[3]Sheet1!$C$2:$AC$78))</f>
        <v>360</v>
      </c>
      <c r="K174" s="3">
        <f t="shared" si="6"/>
        <v>360000</v>
      </c>
      <c r="L174" s="3">
        <f t="shared" si="8"/>
        <v>92622.222222222219</v>
      </c>
      <c r="M174" s="10">
        <v>103.713301795894</v>
      </c>
      <c r="N174" s="10">
        <v>18.146621067507599</v>
      </c>
    </row>
    <row r="175" spans="1:14" hidden="1" x14ac:dyDescent="0.3">
      <c r="A175" s="5">
        <v>39</v>
      </c>
      <c r="B175" s="5" t="str">
        <f>_xlfn.XLOOKUP(D175,'[1]Viirs77-Sol'!$C$2:$C$694,'[1]Viirs77-Sol'!$A$2:$A$694)</f>
        <v>TH-38</v>
      </c>
      <c r="C175" s="5" t="str">
        <f>_xlfn.XLOOKUP(D175,cleanprovinces!$B:$B,cleanprovinces!$A:$A)</f>
        <v>NE</v>
      </c>
      <c r="D175" s="8" t="s">
        <v>46</v>
      </c>
      <c r="E175" s="6">
        <v>2019</v>
      </c>
      <c r="F175" s="7" cm="1">
        <f t="array" ref="F175">_xlfn.XLOOKUP(D175&amp;E175,'[1]Viirs77-Sol'!$C$2:$C$694&amp;'[1]Viirs77-Sol'!$D$2:$D$694,'[1]Viirs77-Sol'!$E$2:$E$694)</f>
        <v>6631.1205950000003</v>
      </c>
      <c r="G175" s="7" cm="1">
        <f t="array" ref="G175">_xlfn.XLOOKUP(B175&amp;E175,'[2]Viirs77-Mean'!$A$2:$A$694&amp;'[2]Viirs77-Mean'!$D$2:$D$694,'[2]Viirs77-Mean'!$E$2:$E$694)</f>
        <v>0.33454350300000002</v>
      </c>
      <c r="H175" s="9" cm="1">
        <f t="array" ref="H175">_xlfn.XLOOKUP(D175,cleanprovinces!$B$2:$B$78,_xlfn.XLOOKUP(panel!E175,cleanprovinces!$C$1:$AC$1,cleanprovinces!$C$2:$AC$78,"no",0,1))</f>
        <v>34626</v>
      </c>
      <c r="I175" s="4">
        <f t="shared" si="7"/>
        <v>34626000000</v>
      </c>
      <c r="J175" s="3" cm="1">
        <f t="array" ref="J175">_xlfn.XLOOKUP(D175,[3]Sheet1!$B$2:$B$78,_xlfn.XLOOKUP(E175,[3]Sheet1!$C$1:$AC$1,[3]Sheet1!$C$2:$AC$78))</f>
        <v>360</v>
      </c>
      <c r="K175" s="3">
        <f t="shared" si="6"/>
        <v>360000</v>
      </c>
      <c r="L175" s="3">
        <f t="shared" si="8"/>
        <v>96183.333333333328</v>
      </c>
      <c r="M175" s="10">
        <v>103.713301795894</v>
      </c>
      <c r="N175" s="10">
        <v>18.146621067507599</v>
      </c>
    </row>
    <row r="176" spans="1:14" hidden="1" x14ac:dyDescent="0.3">
      <c r="A176" s="5">
        <v>39</v>
      </c>
      <c r="B176" s="5" t="str">
        <f>_xlfn.XLOOKUP(D176,'[1]Viirs77-Sol'!$C$2:$C$694,'[1]Viirs77-Sol'!$A$2:$A$694)</f>
        <v>TH-38</v>
      </c>
      <c r="C176" s="5" t="str">
        <f>_xlfn.XLOOKUP(D176,cleanprovinces!$B:$B,cleanprovinces!$A:$A)</f>
        <v>NE</v>
      </c>
      <c r="D176" s="5" t="s">
        <v>46</v>
      </c>
      <c r="E176" s="6">
        <v>2020</v>
      </c>
      <c r="F176" s="7" cm="1">
        <f t="array" ref="F176">_xlfn.XLOOKUP(D176&amp;E176,'[1]Viirs77-Sol'!$C$2:$C$694&amp;'[1]Viirs77-Sol'!$D$2:$D$694,'[1]Viirs77-Sol'!$E$2:$E$694)</f>
        <v>7600.4834339999998</v>
      </c>
      <c r="G176" s="7" cm="1">
        <f t="array" ref="G176">_xlfn.XLOOKUP(B176&amp;E176,'[2]Viirs77-Mean'!$A$2:$A$694&amp;'[2]Viirs77-Mean'!$D$2:$D$694,'[2]Viirs77-Mean'!$E$2:$E$694)</f>
        <v>0.38344836599999998</v>
      </c>
      <c r="H176" s="9" cm="1">
        <f t="array" ref="H176">_xlfn.XLOOKUP(D176,cleanprovinces!$B$2:$B$78,_xlfn.XLOOKUP(panel!E176,cleanprovinces!$C$1:$AC$1,cleanprovinces!$C$2:$AC$78,"no",0,1))</f>
        <v>33949</v>
      </c>
      <c r="I176" s="4">
        <f t="shared" si="7"/>
        <v>33949000000</v>
      </c>
      <c r="J176" s="3" cm="1">
        <f t="array" ref="J176">_xlfn.XLOOKUP(D176,[3]Sheet1!$B$2:$B$78,_xlfn.XLOOKUP(E176,[3]Sheet1!$C$1:$AC$1,[3]Sheet1!$C$2:$AC$78))</f>
        <v>359</v>
      </c>
      <c r="K176" s="3">
        <f t="shared" si="6"/>
        <v>359000</v>
      </c>
      <c r="L176" s="3">
        <f t="shared" si="8"/>
        <v>94565.459610027858</v>
      </c>
      <c r="M176" s="10">
        <v>103.713301795894</v>
      </c>
      <c r="N176" s="10">
        <v>18.146621067507599</v>
      </c>
    </row>
    <row r="177" spans="1:14" hidden="1" x14ac:dyDescent="0.3">
      <c r="A177" s="5">
        <v>39</v>
      </c>
      <c r="B177" s="5" t="str">
        <f>_xlfn.XLOOKUP(D177,'[1]Viirs77-Sol'!$C$2:$C$694,'[1]Viirs77-Sol'!$A$2:$A$694)</f>
        <v>TH-38</v>
      </c>
      <c r="C177" s="5" t="str">
        <f>_xlfn.XLOOKUP(D177,cleanprovinces!$B:$B,cleanprovinces!$A:$A)</f>
        <v>NE</v>
      </c>
      <c r="D177" s="5" t="s">
        <v>46</v>
      </c>
      <c r="E177" s="6">
        <v>2021</v>
      </c>
      <c r="F177" s="7" cm="1">
        <f t="array" ref="F177">_xlfn.XLOOKUP(D177&amp;E177,'[1]Viirs77-Sol'!$C$2:$C$694&amp;'[1]Viirs77-Sol'!$D$2:$D$694,'[1]Viirs77-Sol'!$E$2:$E$694)</f>
        <v>8948.0386469999994</v>
      </c>
      <c r="G177" s="7" cm="1">
        <f t="array" ref="G177">_xlfn.XLOOKUP(B177&amp;E177,'[2]Viirs77-Mean'!$A$2:$A$694&amp;'[2]Viirs77-Mean'!$D$2:$D$694,'[2]Viirs77-Mean'!$E$2:$E$694)</f>
        <v>0.45143323099999999</v>
      </c>
      <c r="H177" s="9" cm="1">
        <f t="array" ref="H177">_xlfn.XLOOKUP(D177,cleanprovinces!$B$2:$B$78,_xlfn.XLOOKUP(panel!E177,cleanprovinces!$C$1:$AC$1,cleanprovinces!$C$2:$AC$78,"no",0,1))</f>
        <v>36007</v>
      </c>
      <c r="I177" s="4">
        <f t="shared" si="7"/>
        <v>36007000000</v>
      </c>
      <c r="J177" s="3" cm="1">
        <f t="array" ref="J177">_xlfn.XLOOKUP(D177,[3]Sheet1!$B$2:$B$78,_xlfn.XLOOKUP(E177,[3]Sheet1!$C$1:$AC$1,[3]Sheet1!$C$2:$AC$78))</f>
        <v>358</v>
      </c>
      <c r="K177" s="3">
        <f t="shared" si="6"/>
        <v>358000</v>
      </c>
      <c r="L177" s="3">
        <f t="shared" si="8"/>
        <v>100578.21229050279</v>
      </c>
      <c r="M177" s="10">
        <v>103.713301795894</v>
      </c>
      <c r="N177" s="10">
        <v>18.146621067507599</v>
      </c>
    </row>
    <row r="178" spans="1:14" hidden="1" x14ac:dyDescent="0.3">
      <c r="A178" s="5">
        <v>35</v>
      </c>
      <c r="B178" s="5" t="str">
        <f>_xlfn.XLOOKUP(D178,'[1]Viirs77-Sol'!$C$2:$C$694,'[1]Viirs77-Sol'!$A$2:$A$694)</f>
        <v>TH-31</v>
      </c>
      <c r="C178" s="5" t="str">
        <f>_xlfn.XLOOKUP(D178,cleanprovinces!$B:$B,cleanprovinces!$A:$A)</f>
        <v>NE</v>
      </c>
      <c r="D178" s="5" t="s">
        <v>40</v>
      </c>
      <c r="E178" s="6">
        <v>2014</v>
      </c>
      <c r="F178" s="7" cm="1">
        <f t="array" ref="F178">_xlfn.XLOOKUP(D178&amp;E178,'[1]Viirs77-Sol'!$C$2:$C$694&amp;'[1]Viirs77-Sol'!$D$2:$D$694,'[1]Viirs77-Sol'!$E$2:$E$694)</f>
        <v>10621.858490000001</v>
      </c>
      <c r="G178" s="7" cm="1">
        <f t="array" ref="G178">_xlfn.XLOOKUP(B178&amp;E178,'[2]Viirs77-Mean'!$A$2:$A$694&amp;'[2]Viirs77-Mean'!$D$2:$D$694,'[2]Viirs77-Mean'!$E$2:$E$694)</f>
        <v>0.220286702</v>
      </c>
      <c r="H178" s="9" cm="1">
        <f t="array" ref="H178">_xlfn.XLOOKUP(D178,cleanprovinces!$B$2:$B$78,_xlfn.XLOOKUP(panel!E178,cleanprovinces!$C$1:$AC$1,cleanprovinces!$C$2:$AC$78,"no",0,1))</f>
        <v>47208</v>
      </c>
      <c r="I178" s="4">
        <f t="shared" si="7"/>
        <v>47208000000</v>
      </c>
      <c r="J178" s="3" cm="1">
        <f t="array" ref="J178">_xlfn.XLOOKUP(D178,[3]Sheet1!$B$2:$B$78,_xlfn.XLOOKUP(E178,[3]Sheet1!$C$1:$AC$1,[3]Sheet1!$C$2:$AC$78))</f>
        <v>1251</v>
      </c>
      <c r="K178" s="3">
        <f t="shared" si="6"/>
        <v>1251000</v>
      </c>
      <c r="L178" s="3">
        <f t="shared" si="8"/>
        <v>37736.211031175058</v>
      </c>
      <c r="M178" s="10">
        <v>102.963912972017</v>
      </c>
      <c r="N178" s="10">
        <v>14.814177576522001</v>
      </c>
    </row>
    <row r="179" spans="1:14" hidden="1" x14ac:dyDescent="0.3">
      <c r="A179" s="5">
        <v>35</v>
      </c>
      <c r="B179" s="5" t="str">
        <f>_xlfn.XLOOKUP(D179,'[1]Viirs77-Sol'!$C$2:$C$694,'[1]Viirs77-Sol'!$A$2:$A$694)</f>
        <v>TH-31</v>
      </c>
      <c r="C179" s="5" t="str">
        <f>_xlfn.XLOOKUP(D179,cleanprovinces!$B:$B,cleanprovinces!$A:$A)</f>
        <v>NE</v>
      </c>
      <c r="D179" s="5" t="s">
        <v>40</v>
      </c>
      <c r="E179" s="6">
        <v>2015</v>
      </c>
      <c r="F179" s="7" cm="1">
        <f t="array" ref="F179">_xlfn.XLOOKUP(D179&amp;E179,'[1]Viirs77-Sol'!$C$2:$C$694&amp;'[1]Viirs77-Sol'!$D$2:$D$694,'[1]Viirs77-Sol'!$E$2:$E$694)</f>
        <v>12463.82359</v>
      </c>
      <c r="G179" s="7" cm="1">
        <f t="array" ref="G179">_xlfn.XLOOKUP(B179&amp;E179,'[2]Viirs77-Mean'!$A$2:$A$694&amp;'[2]Viirs77-Mean'!$D$2:$D$694,'[2]Viirs77-Mean'!$E$2:$E$694)</f>
        <v>0.25848721299999999</v>
      </c>
      <c r="H179" s="9" cm="1">
        <f t="array" ref="H179">_xlfn.XLOOKUP(D179,cleanprovinces!$B$2:$B$78,_xlfn.XLOOKUP(panel!E179,cleanprovinces!$C$1:$AC$1,cleanprovinces!$C$2:$AC$78,"no",0,1))</f>
        <v>49888</v>
      </c>
      <c r="I179" s="4">
        <f t="shared" si="7"/>
        <v>49888000000</v>
      </c>
      <c r="J179" s="3" cm="1">
        <f t="array" ref="J179">_xlfn.XLOOKUP(D179,[3]Sheet1!$B$2:$B$78,_xlfn.XLOOKUP(E179,[3]Sheet1!$C$1:$AC$1,[3]Sheet1!$C$2:$AC$78))</f>
        <v>1245</v>
      </c>
      <c r="K179" s="3">
        <f t="shared" si="6"/>
        <v>1245000</v>
      </c>
      <c r="L179" s="3">
        <f t="shared" si="8"/>
        <v>40070.682730923698</v>
      </c>
      <c r="M179" s="10">
        <v>102.963912972017</v>
      </c>
      <c r="N179" s="10">
        <v>14.814177576522001</v>
      </c>
    </row>
    <row r="180" spans="1:14" hidden="1" x14ac:dyDescent="0.3">
      <c r="A180" s="5">
        <v>35</v>
      </c>
      <c r="B180" s="5" t="str">
        <f>_xlfn.XLOOKUP(D180,'[1]Viirs77-Sol'!$C$2:$C$694,'[1]Viirs77-Sol'!$A$2:$A$694)</f>
        <v>TH-31</v>
      </c>
      <c r="C180" s="5" t="str">
        <f>_xlfn.XLOOKUP(D180,cleanprovinces!$B:$B,cleanprovinces!$A:$A)</f>
        <v>NE</v>
      </c>
      <c r="D180" s="5" t="s">
        <v>40</v>
      </c>
      <c r="E180" s="6">
        <v>2016</v>
      </c>
      <c r="F180" s="7" cm="1">
        <f t="array" ref="F180">_xlfn.XLOOKUP(D180&amp;E180,'[1]Viirs77-Sol'!$C$2:$C$694&amp;'[1]Viirs77-Sol'!$D$2:$D$694,'[1]Viirs77-Sol'!$E$2:$E$694)</f>
        <v>14063.671130000001</v>
      </c>
      <c r="G180" s="7" cm="1">
        <f t="array" ref="G180">_xlfn.XLOOKUP(B180&amp;E180,'[2]Viirs77-Mean'!$A$2:$A$694&amp;'[2]Viirs77-Mean'!$D$2:$D$694,'[2]Viirs77-Mean'!$E$2:$E$694)</f>
        <v>0.291666447</v>
      </c>
      <c r="H180" s="9" cm="1">
        <f t="array" ref="H180">_xlfn.XLOOKUP(D180,cleanprovinces!$B$2:$B$78,_xlfn.XLOOKUP(panel!E180,cleanprovinces!$C$1:$AC$1,cleanprovinces!$C$2:$AC$78,"no",0,1))</f>
        <v>50587</v>
      </c>
      <c r="I180" s="4">
        <f t="shared" si="7"/>
        <v>50587000000</v>
      </c>
      <c r="J180" s="3" cm="1">
        <f t="array" ref="J180">_xlfn.XLOOKUP(D180,[3]Sheet1!$B$2:$B$78,_xlfn.XLOOKUP(E180,[3]Sheet1!$C$1:$AC$1,[3]Sheet1!$C$2:$AC$78))</f>
        <v>1239</v>
      </c>
      <c r="K180" s="3">
        <f t="shared" si="6"/>
        <v>1239000</v>
      </c>
      <c r="L180" s="3">
        <f t="shared" si="8"/>
        <v>40828.894269572236</v>
      </c>
      <c r="M180" s="10">
        <v>102.963912972017</v>
      </c>
      <c r="N180" s="10">
        <v>14.814177576522001</v>
      </c>
    </row>
    <row r="181" spans="1:14" hidden="1" x14ac:dyDescent="0.3">
      <c r="A181" s="5">
        <v>35</v>
      </c>
      <c r="B181" s="5" t="str">
        <f>_xlfn.XLOOKUP(D181,'[1]Viirs77-Sol'!$C$2:$C$694,'[1]Viirs77-Sol'!$A$2:$A$694)</f>
        <v>TH-31</v>
      </c>
      <c r="C181" s="5" t="str">
        <f>_xlfn.XLOOKUP(D181,cleanprovinces!$B:$B,cleanprovinces!$A:$A)</f>
        <v>NE</v>
      </c>
      <c r="D181" s="5" t="s">
        <v>40</v>
      </c>
      <c r="E181" s="6">
        <v>2017</v>
      </c>
      <c r="F181" s="7" cm="1">
        <f t="array" ref="F181">_xlfn.XLOOKUP(D181&amp;E181,'[1]Viirs77-Sol'!$C$2:$C$694&amp;'[1]Viirs77-Sol'!$D$2:$D$694,'[1]Viirs77-Sol'!$E$2:$E$694)</f>
        <v>18397.310700000002</v>
      </c>
      <c r="G181" s="7" cm="1">
        <f t="array" ref="G181">_xlfn.XLOOKUP(B181&amp;E181,'[2]Viirs77-Mean'!$A$2:$A$694&amp;'[2]Viirs77-Mean'!$D$2:$D$694,'[2]Viirs77-Mean'!$E$2:$E$694)</f>
        <v>0.38154178999999999</v>
      </c>
      <c r="H181" s="9" cm="1">
        <f t="array" ref="H181">_xlfn.XLOOKUP(D181,cleanprovinces!$B$2:$B$78,_xlfn.XLOOKUP(panel!E181,cleanprovinces!$C$1:$AC$1,cleanprovinces!$C$2:$AC$78,"no",0,1))</f>
        <v>51562</v>
      </c>
      <c r="I181" s="4">
        <f t="shared" si="7"/>
        <v>51562000000</v>
      </c>
      <c r="J181" s="3" cm="1">
        <f t="array" ref="J181">_xlfn.XLOOKUP(D181,[3]Sheet1!$B$2:$B$78,_xlfn.XLOOKUP(E181,[3]Sheet1!$C$1:$AC$1,[3]Sheet1!$C$2:$AC$78))</f>
        <v>1233</v>
      </c>
      <c r="K181" s="3">
        <f t="shared" si="6"/>
        <v>1233000</v>
      </c>
      <c r="L181" s="3">
        <f t="shared" si="8"/>
        <v>41818.329278183293</v>
      </c>
      <c r="M181" s="10">
        <v>102.963912972017</v>
      </c>
      <c r="N181" s="10">
        <v>14.814177576522001</v>
      </c>
    </row>
    <row r="182" spans="1:14" hidden="1" x14ac:dyDescent="0.3">
      <c r="A182" s="5">
        <v>35</v>
      </c>
      <c r="B182" s="5" t="str">
        <f>_xlfn.XLOOKUP(D182,'[1]Viirs77-Sol'!$C$2:$C$694,'[1]Viirs77-Sol'!$A$2:$A$694)</f>
        <v>TH-31</v>
      </c>
      <c r="C182" s="5" t="str">
        <f>_xlfn.XLOOKUP(D182,cleanprovinces!$B:$B,cleanprovinces!$A:$A)</f>
        <v>NE</v>
      </c>
      <c r="D182" s="5" t="s">
        <v>40</v>
      </c>
      <c r="E182" s="6">
        <v>2018</v>
      </c>
      <c r="F182" s="7" cm="1">
        <f t="array" ref="F182">_xlfn.XLOOKUP(D182&amp;E182,'[1]Viirs77-Sol'!$C$2:$C$694&amp;'[1]Viirs77-Sol'!$D$2:$D$694,'[1]Viirs77-Sol'!$E$2:$E$694)</f>
        <v>20383.690900000001</v>
      </c>
      <c r="G182" s="7" cm="1">
        <f t="array" ref="G182">_xlfn.XLOOKUP(B182&amp;E182,'[2]Viirs77-Mean'!$A$2:$A$694&amp;'[2]Viirs77-Mean'!$D$2:$D$694,'[2]Viirs77-Mean'!$E$2:$E$694)</f>
        <v>0.422737325</v>
      </c>
      <c r="H182" s="9" cm="1">
        <f t="array" ref="H182">_xlfn.XLOOKUP(D182,cleanprovinces!$B$2:$B$78,_xlfn.XLOOKUP(panel!E182,cleanprovinces!$C$1:$AC$1,cleanprovinces!$C$2:$AC$78,"no",0,1))</f>
        <v>52118</v>
      </c>
      <c r="I182" s="4">
        <f t="shared" si="7"/>
        <v>52118000000</v>
      </c>
      <c r="J182" s="3" cm="1">
        <f t="array" ref="J182">_xlfn.XLOOKUP(D182,[3]Sheet1!$B$2:$B$78,_xlfn.XLOOKUP(E182,[3]Sheet1!$C$1:$AC$1,[3]Sheet1!$C$2:$AC$78))</f>
        <v>1228</v>
      </c>
      <c r="K182" s="3">
        <f t="shared" si="6"/>
        <v>1228000</v>
      </c>
      <c r="L182" s="3">
        <f t="shared" si="8"/>
        <v>42441.368078175896</v>
      </c>
      <c r="M182" s="10">
        <v>102.963912972017</v>
      </c>
      <c r="N182" s="10">
        <v>14.814177576522001</v>
      </c>
    </row>
    <row r="183" spans="1:14" hidden="1" x14ac:dyDescent="0.3">
      <c r="A183" s="5">
        <v>35</v>
      </c>
      <c r="B183" s="5" t="str">
        <f>_xlfn.XLOOKUP(D183,'[1]Viirs77-Sol'!$C$2:$C$694,'[1]Viirs77-Sol'!$A$2:$A$694)</f>
        <v>TH-31</v>
      </c>
      <c r="C183" s="5" t="str">
        <f>_xlfn.XLOOKUP(D183,cleanprovinces!$B:$B,cleanprovinces!$A:$A)</f>
        <v>NE</v>
      </c>
      <c r="D183" s="5" t="s">
        <v>40</v>
      </c>
      <c r="E183" s="6">
        <v>2019</v>
      </c>
      <c r="F183" s="7" cm="1">
        <f t="array" ref="F183">_xlfn.XLOOKUP(D183&amp;E183,'[1]Viirs77-Sol'!$C$2:$C$694&amp;'[1]Viirs77-Sol'!$D$2:$D$694,'[1]Viirs77-Sol'!$E$2:$E$694)</f>
        <v>21548.370780000001</v>
      </c>
      <c r="G183" s="7" cm="1">
        <f t="array" ref="G183">_xlfn.XLOOKUP(B183&amp;E183,'[2]Viirs77-Mean'!$A$2:$A$694&amp;'[2]Viirs77-Mean'!$D$2:$D$694,'[2]Viirs77-Mean'!$E$2:$E$694)</f>
        <v>0.44689161900000002</v>
      </c>
      <c r="H183" s="9" cm="1">
        <f t="array" ref="H183">_xlfn.XLOOKUP(D183,cleanprovinces!$B$2:$B$78,_xlfn.XLOOKUP(panel!E183,cleanprovinces!$C$1:$AC$1,cleanprovinces!$C$2:$AC$78,"no",0,1))</f>
        <v>52602</v>
      </c>
      <c r="I183" s="4">
        <f t="shared" si="7"/>
        <v>52602000000</v>
      </c>
      <c r="J183" s="3" cm="1">
        <f t="array" ref="J183">_xlfn.XLOOKUP(D183,[3]Sheet1!$B$2:$B$78,_xlfn.XLOOKUP(E183,[3]Sheet1!$C$1:$AC$1,[3]Sheet1!$C$2:$AC$78))</f>
        <v>1219</v>
      </c>
      <c r="K183" s="3">
        <f t="shared" si="6"/>
        <v>1219000</v>
      </c>
      <c r="L183" s="3">
        <f t="shared" si="8"/>
        <v>43151.763740771123</v>
      </c>
      <c r="M183" s="10">
        <v>102.963912972017</v>
      </c>
      <c r="N183" s="10">
        <v>14.814177576522001</v>
      </c>
    </row>
    <row r="184" spans="1:14" hidden="1" x14ac:dyDescent="0.3">
      <c r="A184" s="5">
        <v>35</v>
      </c>
      <c r="B184" s="5" t="str">
        <f>_xlfn.XLOOKUP(D184,'[1]Viirs77-Sol'!$C$2:$C$694,'[1]Viirs77-Sol'!$A$2:$A$694)</f>
        <v>TH-31</v>
      </c>
      <c r="C184" s="5" t="str">
        <f>_xlfn.XLOOKUP(D184,cleanprovinces!$B:$B,cleanprovinces!$A:$A)</f>
        <v>NE</v>
      </c>
      <c r="D184" s="5" t="s">
        <v>40</v>
      </c>
      <c r="E184" s="6">
        <v>2020</v>
      </c>
      <c r="F184" s="7" cm="1">
        <f t="array" ref="F184">_xlfn.XLOOKUP(D184&amp;E184,'[1]Viirs77-Sol'!$C$2:$C$694&amp;'[1]Viirs77-Sol'!$D$2:$D$694,'[1]Viirs77-Sol'!$E$2:$E$694)</f>
        <v>24861.08222</v>
      </c>
      <c r="G184" s="7" cm="1">
        <f t="array" ref="G184">_xlfn.XLOOKUP(B184&amp;E184,'[2]Viirs77-Mean'!$A$2:$A$694&amp;'[2]Viirs77-Mean'!$D$2:$D$694,'[2]Viirs77-Mean'!$E$2:$E$694)</f>
        <v>0.51559393499999995</v>
      </c>
      <c r="H184" s="9" cm="1">
        <f t="array" ref="H184">_xlfn.XLOOKUP(D184,cleanprovinces!$B$2:$B$78,_xlfn.XLOOKUP(panel!E184,cleanprovinces!$C$1:$AC$1,cleanprovinces!$C$2:$AC$78,"no",0,1))</f>
        <v>54066</v>
      </c>
      <c r="I184" s="4">
        <f t="shared" si="7"/>
        <v>54066000000</v>
      </c>
      <c r="J184" s="3" cm="1">
        <f t="array" ref="J184">_xlfn.XLOOKUP(D184,[3]Sheet1!$B$2:$B$78,_xlfn.XLOOKUP(E184,[3]Sheet1!$C$1:$AC$1,[3]Sheet1!$C$2:$AC$78))</f>
        <v>1210</v>
      </c>
      <c r="K184" s="3">
        <f t="shared" si="6"/>
        <v>1210000</v>
      </c>
      <c r="L184" s="3">
        <f t="shared" si="8"/>
        <v>44682.644628099173</v>
      </c>
      <c r="M184" s="10">
        <v>102.963912972017</v>
      </c>
      <c r="N184" s="10">
        <v>14.814177576522001</v>
      </c>
    </row>
    <row r="185" spans="1:14" hidden="1" x14ac:dyDescent="0.3">
      <c r="A185" s="5">
        <v>35</v>
      </c>
      <c r="B185" s="5" t="str">
        <f>_xlfn.XLOOKUP(D185,'[1]Viirs77-Sol'!$C$2:$C$694,'[1]Viirs77-Sol'!$A$2:$A$694)</f>
        <v>TH-31</v>
      </c>
      <c r="C185" s="5" t="str">
        <f>_xlfn.XLOOKUP(D185,cleanprovinces!$B:$B,cleanprovinces!$A:$A)</f>
        <v>NE</v>
      </c>
      <c r="D185" s="5" t="s">
        <v>40</v>
      </c>
      <c r="E185" s="6">
        <v>2021</v>
      </c>
      <c r="F185" s="7" cm="1">
        <f t="array" ref="F185">_xlfn.XLOOKUP(D185&amp;E185,'[1]Viirs77-Sol'!$C$2:$C$694&amp;'[1]Viirs77-Sol'!$D$2:$D$694,'[1]Viirs77-Sol'!$E$2:$E$694)</f>
        <v>30050.66489</v>
      </c>
      <c r="G185" s="7" cm="1">
        <f t="array" ref="G185">_xlfn.XLOOKUP(B185&amp;E185,'[2]Viirs77-Mean'!$A$2:$A$694&amp;'[2]Viirs77-Mean'!$D$2:$D$694,'[2]Viirs77-Mean'!$E$2:$E$694)</f>
        <v>0.623220679</v>
      </c>
      <c r="H185" s="9" cm="1">
        <f t="array" ref="H185">_xlfn.XLOOKUP(D185,cleanprovinces!$B$2:$B$78,_xlfn.XLOOKUP(panel!E185,cleanprovinces!$C$1:$AC$1,cleanprovinces!$C$2:$AC$78,"no",0,1))</f>
        <v>56151</v>
      </c>
      <c r="I185" s="4">
        <f t="shared" si="7"/>
        <v>56151000000</v>
      </c>
      <c r="J185" s="3" cm="1">
        <f t="array" ref="J185">_xlfn.XLOOKUP(D185,[3]Sheet1!$B$2:$B$78,_xlfn.XLOOKUP(E185,[3]Sheet1!$C$1:$AC$1,[3]Sheet1!$C$2:$AC$78))</f>
        <v>1201</v>
      </c>
      <c r="K185" s="3">
        <f t="shared" si="6"/>
        <v>1201000</v>
      </c>
      <c r="L185" s="3">
        <f t="shared" si="8"/>
        <v>46753.538717735224</v>
      </c>
      <c r="M185" s="10">
        <v>102.963912972017</v>
      </c>
      <c r="N185" s="10">
        <v>14.814177576522001</v>
      </c>
    </row>
    <row r="186" spans="1:14" hidden="1" x14ac:dyDescent="0.3">
      <c r="A186" s="5">
        <v>9</v>
      </c>
      <c r="B186" s="5" t="str">
        <f>_xlfn.XLOOKUP(D186,'[1]Viirs77-Sol'!$C$2:$C$694,'[1]Viirs77-Sol'!$A$2:$A$694)</f>
        <v>TH-36</v>
      </c>
      <c r="C186" s="5" t="str">
        <f>_xlfn.XLOOKUP(D186,cleanprovinces!$B:$B,cleanprovinces!$A:$A)</f>
        <v>NE</v>
      </c>
      <c r="D186" s="5" t="s">
        <v>36</v>
      </c>
      <c r="E186" s="6">
        <v>2014</v>
      </c>
      <c r="F186" s="7" cm="1">
        <f t="array" ref="F186">_xlfn.XLOOKUP(D186&amp;E186,'[1]Viirs77-Sol'!$C$2:$C$694&amp;'[1]Viirs77-Sol'!$D$2:$D$694,'[1]Viirs77-Sol'!$E$2:$E$694)</f>
        <v>12570.80809</v>
      </c>
      <c r="G186" s="7" cm="1">
        <f t="array" ref="G186">_xlfn.XLOOKUP(B186&amp;E186,'[2]Viirs77-Mean'!$A$2:$A$694&amp;'[2]Viirs77-Mean'!$D$2:$D$694,'[2]Viirs77-Mean'!$E$2:$E$694)</f>
        <v>0.196550006</v>
      </c>
      <c r="H186" s="9" cm="1">
        <f t="array" ref="H186">_xlfn.XLOOKUP(D186,cleanprovinces!$B$2:$B$78,_xlfn.XLOOKUP(panel!E186,cleanprovinces!$C$1:$AC$1,cleanprovinces!$C$2:$AC$78,"no",0,1))</f>
        <v>34526</v>
      </c>
      <c r="I186" s="4">
        <f t="shared" si="7"/>
        <v>34526000000</v>
      </c>
      <c r="J186" s="3" cm="1">
        <f t="array" ref="J186">_xlfn.XLOOKUP(D186,[3]Sheet1!$B$2:$B$78,_xlfn.XLOOKUP(E186,[3]Sheet1!$C$1:$AC$1,[3]Sheet1!$C$2:$AC$78))</f>
        <v>958</v>
      </c>
      <c r="K186" s="3">
        <f t="shared" si="6"/>
        <v>958000</v>
      </c>
      <c r="L186" s="3">
        <f t="shared" si="8"/>
        <v>36039.665970772439</v>
      </c>
      <c r="M186" s="10">
        <v>101.802550628546</v>
      </c>
      <c r="N186" s="10">
        <v>16.007889826123499</v>
      </c>
    </row>
    <row r="187" spans="1:14" hidden="1" x14ac:dyDescent="0.3">
      <c r="A187" s="5">
        <v>9</v>
      </c>
      <c r="B187" s="5" t="str">
        <f>_xlfn.XLOOKUP(D187,'[1]Viirs77-Sol'!$C$2:$C$694,'[1]Viirs77-Sol'!$A$2:$A$694)</f>
        <v>TH-36</v>
      </c>
      <c r="C187" s="5" t="str">
        <f>_xlfn.XLOOKUP(D187,cleanprovinces!$B:$B,cleanprovinces!$A:$A)</f>
        <v>NE</v>
      </c>
      <c r="D187" s="5" t="s">
        <v>36</v>
      </c>
      <c r="E187" s="6">
        <v>2015</v>
      </c>
      <c r="F187" s="7" cm="1">
        <f t="array" ref="F187">_xlfn.XLOOKUP(D187&amp;E187,'[1]Viirs77-Sol'!$C$2:$C$694&amp;'[1]Viirs77-Sol'!$D$2:$D$694,'[1]Viirs77-Sol'!$E$2:$E$694)</f>
        <v>14195.368539999999</v>
      </c>
      <c r="G187" s="7" cm="1">
        <f t="array" ref="G187">_xlfn.XLOOKUP(B187&amp;E187,'[2]Viirs77-Mean'!$A$2:$A$694&amp;'[2]Viirs77-Mean'!$D$2:$D$694,'[2]Viirs77-Mean'!$E$2:$E$694)</f>
        <v>0.221950709</v>
      </c>
      <c r="H187" s="9" cm="1">
        <f t="array" ref="H187">_xlfn.XLOOKUP(D187,cleanprovinces!$B$2:$B$78,_xlfn.XLOOKUP(panel!E187,cleanprovinces!$C$1:$AC$1,cleanprovinces!$C$2:$AC$78,"no",0,1))</f>
        <v>35455</v>
      </c>
      <c r="I187" s="4">
        <f t="shared" si="7"/>
        <v>35455000000</v>
      </c>
      <c r="J187" s="3" cm="1">
        <f t="array" ref="J187">_xlfn.XLOOKUP(D187,[3]Sheet1!$B$2:$B$78,_xlfn.XLOOKUP(E187,[3]Sheet1!$C$1:$AC$1,[3]Sheet1!$C$2:$AC$78))</f>
        <v>956</v>
      </c>
      <c r="K187" s="3">
        <f t="shared" si="6"/>
        <v>956000</v>
      </c>
      <c r="L187" s="3">
        <f t="shared" si="8"/>
        <v>37086.820083682011</v>
      </c>
      <c r="M187" s="10">
        <v>101.802550628546</v>
      </c>
      <c r="N187" s="10">
        <v>16.007889826123499</v>
      </c>
    </row>
    <row r="188" spans="1:14" hidden="1" x14ac:dyDescent="0.3">
      <c r="A188" s="5">
        <v>9</v>
      </c>
      <c r="B188" s="5" t="str">
        <f>_xlfn.XLOOKUP(D188,'[1]Viirs77-Sol'!$C$2:$C$694,'[1]Viirs77-Sol'!$A$2:$A$694)</f>
        <v>TH-36</v>
      </c>
      <c r="C188" s="5" t="str">
        <f>_xlfn.XLOOKUP(D188,cleanprovinces!$B:$B,cleanprovinces!$A:$A)</f>
        <v>NE</v>
      </c>
      <c r="D188" s="5" t="s">
        <v>36</v>
      </c>
      <c r="E188" s="6">
        <v>2016</v>
      </c>
      <c r="F188" s="7" cm="1">
        <f t="array" ref="F188">_xlfn.XLOOKUP(D188&amp;E188,'[1]Viirs77-Sol'!$C$2:$C$694&amp;'[1]Viirs77-Sol'!$D$2:$D$694,'[1]Viirs77-Sol'!$E$2:$E$694)</f>
        <v>15137.94757</v>
      </c>
      <c r="G188" s="7" cm="1">
        <f t="array" ref="G188">_xlfn.XLOOKUP(B188&amp;E188,'[2]Viirs77-Mean'!$A$2:$A$694&amp;'[2]Viirs77-Mean'!$D$2:$D$694,'[2]Viirs77-Mean'!$E$2:$E$694)</f>
        <v>0.236688339</v>
      </c>
      <c r="H188" s="9" cm="1">
        <f t="array" ref="H188">_xlfn.XLOOKUP(D188,cleanprovinces!$B$2:$B$78,_xlfn.XLOOKUP(panel!E188,cleanprovinces!$C$1:$AC$1,cleanprovinces!$C$2:$AC$78,"no",0,1))</f>
        <v>37594</v>
      </c>
      <c r="I188" s="4">
        <f t="shared" si="7"/>
        <v>37594000000</v>
      </c>
      <c r="J188" s="3" cm="1">
        <f t="array" ref="J188">_xlfn.XLOOKUP(D188,[3]Sheet1!$B$2:$B$78,_xlfn.XLOOKUP(E188,[3]Sheet1!$C$1:$AC$1,[3]Sheet1!$C$2:$AC$78))</f>
        <v>951</v>
      </c>
      <c r="K188" s="3">
        <f t="shared" si="6"/>
        <v>951000</v>
      </c>
      <c r="L188" s="3">
        <f t="shared" si="8"/>
        <v>39531.019978969503</v>
      </c>
      <c r="M188" s="10">
        <v>101.802550628546</v>
      </c>
      <c r="N188" s="10">
        <v>16.007889826123499</v>
      </c>
    </row>
    <row r="189" spans="1:14" hidden="1" x14ac:dyDescent="0.3">
      <c r="A189" s="5">
        <v>9</v>
      </c>
      <c r="B189" s="5" t="str">
        <f>_xlfn.XLOOKUP(D189,'[1]Viirs77-Sol'!$C$2:$C$694,'[1]Viirs77-Sol'!$A$2:$A$694)</f>
        <v>TH-36</v>
      </c>
      <c r="C189" s="5" t="str">
        <f>_xlfn.XLOOKUP(D189,cleanprovinces!$B:$B,cleanprovinces!$A:$A)</f>
        <v>NE</v>
      </c>
      <c r="D189" s="5" t="s">
        <v>36</v>
      </c>
      <c r="E189" s="6">
        <v>2017</v>
      </c>
      <c r="F189" s="7" cm="1">
        <f t="array" ref="F189">_xlfn.XLOOKUP(D189&amp;E189,'[1]Viirs77-Sol'!$C$2:$C$694&amp;'[1]Viirs77-Sol'!$D$2:$D$694,'[1]Viirs77-Sol'!$E$2:$E$694)</f>
        <v>18717.076089999999</v>
      </c>
      <c r="G189" s="7" cm="1">
        <f t="array" ref="G189">_xlfn.XLOOKUP(B189&amp;E189,'[2]Viirs77-Mean'!$A$2:$A$694&amp;'[2]Viirs77-Mean'!$D$2:$D$694,'[2]Viirs77-Mean'!$E$2:$E$694)</f>
        <v>0.292649557</v>
      </c>
      <c r="H189" s="9" cm="1">
        <f t="array" ref="H189">_xlfn.XLOOKUP(D189,cleanprovinces!$B$2:$B$78,_xlfn.XLOOKUP(panel!E189,cleanprovinces!$C$1:$AC$1,cleanprovinces!$C$2:$AC$78,"no",0,1))</f>
        <v>38257</v>
      </c>
      <c r="I189" s="4">
        <f t="shared" si="7"/>
        <v>38257000000</v>
      </c>
      <c r="J189" s="3" cm="1">
        <f t="array" ref="J189">_xlfn.XLOOKUP(D189,[3]Sheet1!$B$2:$B$78,_xlfn.XLOOKUP(E189,[3]Sheet1!$C$1:$AC$1,[3]Sheet1!$C$2:$AC$78))</f>
        <v>947</v>
      </c>
      <c r="K189" s="3">
        <f t="shared" si="6"/>
        <v>947000</v>
      </c>
      <c r="L189" s="3">
        <f t="shared" si="8"/>
        <v>40398.099260823656</v>
      </c>
      <c r="M189" s="10">
        <v>101.802550628546</v>
      </c>
      <c r="N189" s="10">
        <v>16.007889826123499</v>
      </c>
    </row>
    <row r="190" spans="1:14" hidden="1" x14ac:dyDescent="0.3">
      <c r="A190" s="5">
        <v>9</v>
      </c>
      <c r="B190" s="5" t="str">
        <f>_xlfn.XLOOKUP(D190,'[1]Viirs77-Sol'!$C$2:$C$694,'[1]Viirs77-Sol'!$A$2:$A$694)</f>
        <v>TH-36</v>
      </c>
      <c r="C190" s="5" t="str">
        <f>_xlfn.XLOOKUP(D190,cleanprovinces!$B:$B,cleanprovinces!$A:$A)</f>
        <v>NE</v>
      </c>
      <c r="D190" s="5" t="s">
        <v>36</v>
      </c>
      <c r="E190" s="6">
        <v>2018</v>
      </c>
      <c r="F190" s="7" cm="1">
        <f t="array" ref="F190">_xlfn.XLOOKUP(D190&amp;E190,'[1]Viirs77-Sol'!$C$2:$C$694&amp;'[1]Viirs77-Sol'!$D$2:$D$694,'[1]Viirs77-Sol'!$E$2:$E$694)</f>
        <v>19846.30098</v>
      </c>
      <c r="G190" s="7" cm="1">
        <f t="array" ref="G190">_xlfn.XLOOKUP(B190&amp;E190,'[2]Viirs77-Mean'!$A$2:$A$694&amp;'[2]Viirs77-Mean'!$D$2:$D$694,'[2]Viirs77-Mean'!$E$2:$E$694)</f>
        <v>0.310305475</v>
      </c>
      <c r="H190" s="9" cm="1">
        <f t="array" ref="H190">_xlfn.XLOOKUP(D190,cleanprovinces!$B$2:$B$78,_xlfn.XLOOKUP(panel!E190,cleanprovinces!$C$1:$AC$1,cleanprovinces!$C$2:$AC$78,"no",0,1))</f>
        <v>40427</v>
      </c>
      <c r="I190" s="4">
        <f t="shared" si="7"/>
        <v>40427000000</v>
      </c>
      <c r="J190" s="3" cm="1">
        <f t="array" ref="J190">_xlfn.XLOOKUP(D190,[3]Sheet1!$B$2:$B$78,_xlfn.XLOOKUP(E190,[3]Sheet1!$C$1:$AC$1,[3]Sheet1!$C$2:$AC$78))</f>
        <v>942</v>
      </c>
      <c r="K190" s="3">
        <f t="shared" si="6"/>
        <v>942000</v>
      </c>
      <c r="L190" s="3">
        <f t="shared" si="8"/>
        <v>42916.135881104034</v>
      </c>
      <c r="M190" s="10">
        <v>101.802550628546</v>
      </c>
      <c r="N190" s="10">
        <v>16.007889826123499</v>
      </c>
    </row>
    <row r="191" spans="1:14" hidden="1" x14ac:dyDescent="0.3">
      <c r="A191" s="5">
        <v>9</v>
      </c>
      <c r="B191" s="5" t="str">
        <f>_xlfn.XLOOKUP(D191,'[1]Viirs77-Sol'!$C$2:$C$694,'[1]Viirs77-Sol'!$A$2:$A$694)</f>
        <v>TH-36</v>
      </c>
      <c r="C191" s="5" t="str">
        <f>_xlfn.XLOOKUP(D191,cleanprovinces!$B:$B,cleanprovinces!$A:$A)</f>
        <v>NE</v>
      </c>
      <c r="D191" s="5" t="s">
        <v>36</v>
      </c>
      <c r="E191" s="6">
        <v>2019</v>
      </c>
      <c r="F191" s="7" cm="1">
        <f t="array" ref="F191">_xlfn.XLOOKUP(D191&amp;E191,'[1]Viirs77-Sol'!$C$2:$C$694&amp;'[1]Viirs77-Sol'!$D$2:$D$694,'[1]Viirs77-Sol'!$E$2:$E$694)</f>
        <v>20073.597470000001</v>
      </c>
      <c r="G191" s="7" cm="1">
        <f t="array" ref="G191">_xlfn.XLOOKUP(B191&amp;E191,'[2]Viirs77-Mean'!$A$2:$A$694&amp;'[2]Viirs77-Mean'!$D$2:$D$694,'[2]Viirs77-Mean'!$E$2:$E$694)</f>
        <v>0.31385935399999998</v>
      </c>
      <c r="H191" s="9" cm="1">
        <f t="array" ref="H191">_xlfn.XLOOKUP(D191,cleanprovinces!$B$2:$B$78,_xlfn.XLOOKUP(panel!E191,cleanprovinces!$C$1:$AC$1,cleanprovinces!$C$2:$AC$78,"no",0,1))</f>
        <v>38915</v>
      </c>
      <c r="I191" s="4">
        <f t="shared" si="7"/>
        <v>38915000000</v>
      </c>
      <c r="J191" s="3" cm="1">
        <f t="array" ref="J191">_xlfn.XLOOKUP(D191,[3]Sheet1!$B$2:$B$78,_xlfn.XLOOKUP(E191,[3]Sheet1!$C$1:$AC$1,[3]Sheet1!$C$2:$AC$78))</f>
        <v>936</v>
      </c>
      <c r="K191" s="3">
        <f t="shared" si="6"/>
        <v>936000</v>
      </c>
      <c r="L191" s="3">
        <f t="shared" si="8"/>
        <v>41575.854700854703</v>
      </c>
      <c r="M191" s="10">
        <v>101.802550628546</v>
      </c>
      <c r="N191" s="10">
        <v>16.007889826123499</v>
      </c>
    </row>
    <row r="192" spans="1:14" hidden="1" x14ac:dyDescent="0.3">
      <c r="A192" s="5">
        <v>9</v>
      </c>
      <c r="B192" s="5" t="str">
        <f>_xlfn.XLOOKUP(D192,'[1]Viirs77-Sol'!$C$2:$C$694,'[1]Viirs77-Sol'!$A$2:$A$694)</f>
        <v>TH-36</v>
      </c>
      <c r="C192" s="5" t="str">
        <f>_xlfn.XLOOKUP(D192,cleanprovinces!$B:$B,cleanprovinces!$A:$A)</f>
        <v>NE</v>
      </c>
      <c r="D192" s="5" t="s">
        <v>36</v>
      </c>
      <c r="E192" s="6">
        <v>2020</v>
      </c>
      <c r="F192" s="7" cm="1">
        <f t="array" ref="F192">_xlfn.XLOOKUP(D192&amp;E192,'[1]Viirs77-Sol'!$C$2:$C$694&amp;'[1]Viirs77-Sol'!$D$2:$D$694,'[1]Viirs77-Sol'!$E$2:$E$694)</f>
        <v>21994.16588</v>
      </c>
      <c r="G192" s="7" cm="1">
        <f t="array" ref="G192">_xlfn.XLOOKUP(B192&amp;E192,'[2]Viirs77-Mean'!$A$2:$A$694&amp;'[2]Viirs77-Mean'!$D$2:$D$694,'[2]Viirs77-Mean'!$E$2:$E$694)</f>
        <v>0.34388826900000002</v>
      </c>
      <c r="H192" s="9" cm="1">
        <f t="array" ref="H192">_xlfn.XLOOKUP(D192,cleanprovinces!$B$2:$B$78,_xlfn.XLOOKUP(panel!E192,cleanprovinces!$C$1:$AC$1,cleanprovinces!$C$2:$AC$78,"no",0,1))</f>
        <v>38898</v>
      </c>
      <c r="I192" s="4">
        <f t="shared" si="7"/>
        <v>38898000000</v>
      </c>
      <c r="J192" s="3" cm="1">
        <f t="array" ref="J192">_xlfn.XLOOKUP(D192,[3]Sheet1!$B$2:$B$78,_xlfn.XLOOKUP(E192,[3]Sheet1!$C$1:$AC$1,[3]Sheet1!$C$2:$AC$78))</f>
        <v>931</v>
      </c>
      <c r="K192" s="3">
        <f t="shared" si="6"/>
        <v>931000</v>
      </c>
      <c r="L192" s="3">
        <f t="shared" si="8"/>
        <v>41780.880773361976</v>
      </c>
      <c r="M192" s="10">
        <v>101.802550628546</v>
      </c>
      <c r="N192" s="10">
        <v>16.007889826123499</v>
      </c>
    </row>
    <row r="193" spans="1:14" hidden="1" x14ac:dyDescent="0.3">
      <c r="A193" s="5">
        <v>9</v>
      </c>
      <c r="B193" s="5" t="str">
        <f>_xlfn.XLOOKUP(D193,'[1]Viirs77-Sol'!$C$2:$C$694,'[1]Viirs77-Sol'!$A$2:$A$694)</f>
        <v>TH-36</v>
      </c>
      <c r="C193" s="5" t="str">
        <f>_xlfn.XLOOKUP(D193,cleanprovinces!$B:$B,cleanprovinces!$A:$A)</f>
        <v>NE</v>
      </c>
      <c r="D193" s="5" t="s">
        <v>36</v>
      </c>
      <c r="E193" s="6">
        <v>2021</v>
      </c>
      <c r="F193" s="7" cm="1">
        <f t="array" ref="F193">_xlfn.XLOOKUP(D193&amp;E193,'[1]Viirs77-Sol'!$C$2:$C$694&amp;'[1]Viirs77-Sol'!$D$2:$D$694,'[1]Viirs77-Sol'!$E$2:$E$694)</f>
        <v>24218.64385</v>
      </c>
      <c r="G193" s="7" cm="1">
        <f t="array" ref="G193">_xlfn.XLOOKUP(B193&amp;E193,'[2]Viirs77-Mean'!$A$2:$A$694&amp;'[2]Viirs77-Mean'!$D$2:$D$694,'[2]Viirs77-Mean'!$E$2:$E$694)</f>
        <v>0.37866894200000001</v>
      </c>
      <c r="H193" s="9" cm="1">
        <f t="array" ref="H193">_xlfn.XLOOKUP(D193,cleanprovinces!$B$2:$B$78,_xlfn.XLOOKUP(panel!E193,cleanprovinces!$C$1:$AC$1,cleanprovinces!$C$2:$AC$78,"no",0,1))</f>
        <v>39794</v>
      </c>
      <c r="I193" s="4">
        <f t="shared" si="7"/>
        <v>39794000000</v>
      </c>
      <c r="J193" s="3" cm="1">
        <f t="array" ref="J193">_xlfn.XLOOKUP(D193,[3]Sheet1!$B$2:$B$78,_xlfn.XLOOKUP(E193,[3]Sheet1!$C$1:$AC$1,[3]Sheet1!$C$2:$AC$78))</f>
        <v>926</v>
      </c>
      <c r="K193" s="3">
        <f t="shared" si="6"/>
        <v>926000</v>
      </c>
      <c r="L193" s="3">
        <f t="shared" si="8"/>
        <v>42974.082073434125</v>
      </c>
      <c r="M193" s="10">
        <v>101.802550628546</v>
      </c>
      <c r="N193" s="10">
        <v>16.007889826123499</v>
      </c>
    </row>
    <row r="194" spans="1:14" hidden="1" x14ac:dyDescent="0.3">
      <c r="A194" s="5">
        <v>20</v>
      </c>
      <c r="B194" s="5" t="str">
        <f>_xlfn.XLOOKUP(D194,'[1]Viirs77-Sol'!$C$2:$C$694,'[1]Viirs77-Sol'!$A$2:$A$694)</f>
        <v>TH-46</v>
      </c>
      <c r="C194" s="5" t="str">
        <f>_xlfn.XLOOKUP(D194,cleanprovinces!$B:$B,cleanprovinces!$A:$A)</f>
        <v>NE</v>
      </c>
      <c r="D194" s="5" t="s">
        <v>34</v>
      </c>
      <c r="E194" s="6">
        <v>2014</v>
      </c>
      <c r="F194" s="7" cm="1">
        <f t="array" ref="F194">_xlfn.XLOOKUP(D194&amp;E194,'[1]Viirs77-Sol'!$C$2:$C$694&amp;'[1]Viirs77-Sol'!$D$2:$D$694,'[1]Viirs77-Sol'!$E$2:$E$694)</f>
        <v>10457.747369999999</v>
      </c>
      <c r="G194" s="7" cm="1">
        <f t="array" ref="G194">_xlfn.XLOOKUP(B194&amp;E194,'[2]Viirs77-Mean'!$A$2:$A$694&amp;'[2]Viirs77-Mean'!$D$2:$D$694,'[2]Viirs77-Mean'!$E$2:$E$694)</f>
        <v>0.31271176699999997</v>
      </c>
      <c r="H194" s="9" cm="1">
        <f t="array" ref="H194">_xlfn.XLOOKUP(D194,cleanprovinces!$B$2:$B$78,_xlfn.XLOOKUP(panel!E194,cleanprovinces!$C$1:$AC$1,cleanprovinces!$C$2:$AC$78,"no",0,1))</f>
        <v>31043</v>
      </c>
      <c r="I194" s="4">
        <f t="shared" si="7"/>
        <v>31043000000</v>
      </c>
      <c r="J194" s="3" cm="1">
        <f t="array" ref="J194">_xlfn.XLOOKUP(D194,[3]Sheet1!$B$2:$B$78,_xlfn.XLOOKUP(E194,[3]Sheet1!$C$1:$AC$1,[3]Sheet1!$C$2:$AC$78))</f>
        <v>815</v>
      </c>
      <c r="K194" s="3">
        <f t="shared" ref="K194:K257" si="9">J194*1000</f>
        <v>815000</v>
      </c>
      <c r="L194" s="3">
        <f t="shared" si="8"/>
        <v>38089.570552147241</v>
      </c>
      <c r="M194" s="10">
        <v>103.62761093280599</v>
      </c>
      <c r="N194" s="10">
        <v>16.6307168045869</v>
      </c>
    </row>
    <row r="195" spans="1:14" hidden="1" x14ac:dyDescent="0.3">
      <c r="A195" s="5">
        <v>20</v>
      </c>
      <c r="B195" s="5" t="str">
        <f>_xlfn.XLOOKUP(D195,'[1]Viirs77-Sol'!$C$2:$C$694,'[1]Viirs77-Sol'!$A$2:$A$694)</f>
        <v>TH-46</v>
      </c>
      <c r="C195" s="5" t="str">
        <f>_xlfn.XLOOKUP(D195,cleanprovinces!$B:$B,cleanprovinces!$A:$A)</f>
        <v>NE</v>
      </c>
      <c r="D195" s="5" t="s">
        <v>34</v>
      </c>
      <c r="E195" s="6">
        <v>2015</v>
      </c>
      <c r="F195" s="7" cm="1">
        <f t="array" ref="F195">_xlfn.XLOOKUP(D195&amp;E195,'[1]Viirs77-Sol'!$C$2:$C$694&amp;'[1]Viirs77-Sol'!$D$2:$D$694,'[1]Viirs77-Sol'!$E$2:$E$694)</f>
        <v>12101.956980000001</v>
      </c>
      <c r="G195" s="7" cm="1">
        <f t="array" ref="G195">_xlfn.XLOOKUP(B195&amp;E195,'[2]Viirs77-Mean'!$A$2:$A$694&amp;'[2]Viirs77-Mean'!$D$2:$D$694,'[2]Viirs77-Mean'!$E$2:$E$694)</f>
        <v>0.36187758399999997</v>
      </c>
      <c r="H195" s="9" cm="1">
        <f t="array" ref="H195">_xlfn.XLOOKUP(D195,cleanprovinces!$B$2:$B$78,_xlfn.XLOOKUP(panel!E195,cleanprovinces!$C$1:$AC$1,cleanprovinces!$C$2:$AC$78,"no",0,1))</f>
        <v>31805</v>
      </c>
      <c r="I195" s="4">
        <f t="shared" ref="I195:I258" si="10">H195*1000000</f>
        <v>31805000000</v>
      </c>
      <c r="J195" s="3" cm="1">
        <f t="array" ref="J195">_xlfn.XLOOKUP(D195,[3]Sheet1!$B$2:$B$78,_xlfn.XLOOKUP(E195,[3]Sheet1!$C$1:$AC$1,[3]Sheet1!$C$2:$AC$78))</f>
        <v>813</v>
      </c>
      <c r="K195" s="3">
        <f t="shared" si="9"/>
        <v>813000</v>
      </c>
      <c r="L195" s="3">
        <f t="shared" ref="L195:L258" si="11">I195/K195</f>
        <v>39120.541205412053</v>
      </c>
      <c r="M195" s="10">
        <v>103.62761093280599</v>
      </c>
      <c r="N195" s="10">
        <v>16.6307168045869</v>
      </c>
    </row>
    <row r="196" spans="1:14" hidden="1" x14ac:dyDescent="0.3">
      <c r="A196" s="5">
        <v>20</v>
      </c>
      <c r="B196" s="5" t="str">
        <f>_xlfn.XLOOKUP(D196,'[1]Viirs77-Sol'!$C$2:$C$694,'[1]Viirs77-Sol'!$A$2:$A$694)</f>
        <v>TH-46</v>
      </c>
      <c r="C196" s="5" t="str">
        <f>_xlfn.XLOOKUP(D196,cleanprovinces!$B:$B,cleanprovinces!$A:$A)</f>
        <v>NE</v>
      </c>
      <c r="D196" s="5" t="s">
        <v>34</v>
      </c>
      <c r="E196" s="6">
        <v>2016</v>
      </c>
      <c r="F196" s="7" cm="1">
        <f t="array" ref="F196">_xlfn.XLOOKUP(D196&amp;E196,'[1]Viirs77-Sol'!$C$2:$C$694&amp;'[1]Viirs77-Sol'!$D$2:$D$694,'[1]Viirs77-Sol'!$E$2:$E$694)</f>
        <v>12345.6908</v>
      </c>
      <c r="G196" s="7" cm="1">
        <f t="array" ref="G196">_xlfn.XLOOKUP(B196&amp;E196,'[2]Viirs77-Mean'!$A$2:$A$694&amp;'[2]Viirs77-Mean'!$D$2:$D$694,'[2]Viirs77-Mean'!$E$2:$E$694)</f>
        <v>0.36916580999999998</v>
      </c>
      <c r="H196" s="9" cm="1">
        <f t="array" ref="H196">_xlfn.XLOOKUP(D196,cleanprovinces!$B$2:$B$78,_xlfn.XLOOKUP(panel!E196,cleanprovinces!$C$1:$AC$1,cleanprovinces!$C$2:$AC$78,"no",0,1))</f>
        <v>32695</v>
      </c>
      <c r="I196" s="4">
        <f t="shared" si="10"/>
        <v>32695000000</v>
      </c>
      <c r="J196" s="3" cm="1">
        <f t="array" ref="J196">_xlfn.XLOOKUP(D196,[3]Sheet1!$B$2:$B$78,_xlfn.XLOOKUP(E196,[3]Sheet1!$C$1:$AC$1,[3]Sheet1!$C$2:$AC$78))</f>
        <v>809</v>
      </c>
      <c r="K196" s="3">
        <f t="shared" si="9"/>
        <v>809000</v>
      </c>
      <c r="L196" s="3">
        <f t="shared" si="11"/>
        <v>40414.091470951789</v>
      </c>
      <c r="M196" s="10">
        <v>103.62761093280599</v>
      </c>
      <c r="N196" s="10">
        <v>16.6307168045869</v>
      </c>
    </row>
    <row r="197" spans="1:14" hidden="1" x14ac:dyDescent="0.3">
      <c r="A197" s="5">
        <v>20</v>
      </c>
      <c r="B197" s="5" t="str">
        <f>_xlfn.XLOOKUP(D197,'[1]Viirs77-Sol'!$C$2:$C$694,'[1]Viirs77-Sol'!$A$2:$A$694)</f>
        <v>TH-46</v>
      </c>
      <c r="C197" s="5" t="str">
        <f>_xlfn.XLOOKUP(D197,cleanprovinces!$B:$B,cleanprovinces!$A:$A)</f>
        <v>NE</v>
      </c>
      <c r="D197" s="5" t="s">
        <v>34</v>
      </c>
      <c r="E197" s="6">
        <v>2017</v>
      </c>
      <c r="F197" s="7" cm="1">
        <f t="array" ref="F197">_xlfn.XLOOKUP(D197&amp;E197,'[1]Viirs77-Sol'!$C$2:$C$694&amp;'[1]Viirs77-Sol'!$D$2:$D$694,'[1]Viirs77-Sol'!$E$2:$E$694)</f>
        <v>17605.38823</v>
      </c>
      <c r="G197" s="7" cm="1">
        <f t="array" ref="G197">_xlfn.XLOOKUP(B197&amp;E197,'[2]Viirs77-Mean'!$A$2:$A$694&amp;'[2]Viirs77-Mean'!$D$2:$D$694,'[2]Viirs77-Mean'!$E$2:$E$694)</f>
        <v>0.52644339799999995</v>
      </c>
      <c r="H197" s="9" cm="1">
        <f t="array" ref="H197">_xlfn.XLOOKUP(D197,cleanprovinces!$B$2:$B$78,_xlfn.XLOOKUP(panel!E197,cleanprovinces!$C$1:$AC$1,cleanprovinces!$C$2:$AC$78,"no",0,1))</f>
        <v>33251</v>
      </c>
      <c r="I197" s="4">
        <f t="shared" si="10"/>
        <v>33251000000</v>
      </c>
      <c r="J197" s="3" cm="1">
        <f t="array" ref="J197">_xlfn.XLOOKUP(D197,[3]Sheet1!$B$2:$B$78,_xlfn.XLOOKUP(E197,[3]Sheet1!$C$1:$AC$1,[3]Sheet1!$C$2:$AC$78))</f>
        <v>805</v>
      </c>
      <c r="K197" s="3">
        <f t="shared" si="9"/>
        <v>805000</v>
      </c>
      <c r="L197" s="3">
        <f t="shared" si="11"/>
        <v>41305.590062111798</v>
      </c>
      <c r="M197" s="10">
        <v>103.62761093280599</v>
      </c>
      <c r="N197" s="10">
        <v>16.6307168045869</v>
      </c>
    </row>
    <row r="198" spans="1:14" hidden="1" x14ac:dyDescent="0.3">
      <c r="A198" s="5">
        <v>20</v>
      </c>
      <c r="B198" s="5" t="str">
        <f>_xlfn.XLOOKUP(D198,'[1]Viirs77-Sol'!$C$2:$C$694,'[1]Viirs77-Sol'!$A$2:$A$694)</f>
        <v>TH-46</v>
      </c>
      <c r="C198" s="5" t="str">
        <f>_xlfn.XLOOKUP(D198,cleanprovinces!$B:$B,cleanprovinces!$A:$A)</f>
        <v>NE</v>
      </c>
      <c r="D198" s="5" t="s">
        <v>34</v>
      </c>
      <c r="E198" s="6">
        <v>2018</v>
      </c>
      <c r="F198" s="7" cm="1">
        <f t="array" ref="F198">_xlfn.XLOOKUP(D198&amp;E198,'[1]Viirs77-Sol'!$C$2:$C$694&amp;'[1]Viirs77-Sol'!$D$2:$D$694,'[1]Viirs77-Sol'!$E$2:$E$694)</f>
        <v>17818.795910000001</v>
      </c>
      <c r="G198" s="7" cm="1">
        <f t="array" ref="G198">_xlfn.XLOOKUP(B198&amp;E198,'[2]Viirs77-Mean'!$A$2:$A$694&amp;'[2]Viirs77-Mean'!$D$2:$D$694,'[2]Viirs77-Mean'!$E$2:$E$694)</f>
        <v>0.53282479999999999</v>
      </c>
      <c r="H198" s="9" cm="1">
        <f t="array" ref="H198">_xlfn.XLOOKUP(D198,cleanprovinces!$B$2:$B$78,_xlfn.XLOOKUP(panel!E198,cleanprovinces!$C$1:$AC$1,cleanprovinces!$C$2:$AC$78,"no",0,1))</f>
        <v>37024</v>
      </c>
      <c r="I198" s="4">
        <f t="shared" si="10"/>
        <v>37024000000</v>
      </c>
      <c r="J198" s="3" cm="1">
        <f t="array" ref="J198">_xlfn.XLOOKUP(D198,[3]Sheet1!$B$2:$B$78,_xlfn.XLOOKUP(E198,[3]Sheet1!$C$1:$AC$1,[3]Sheet1!$C$2:$AC$78))</f>
        <v>801</v>
      </c>
      <c r="K198" s="3">
        <f t="shared" si="9"/>
        <v>801000</v>
      </c>
      <c r="L198" s="3">
        <f t="shared" si="11"/>
        <v>46222.222222222219</v>
      </c>
      <c r="M198" s="10">
        <v>103.62761093280599</v>
      </c>
      <c r="N198" s="10">
        <v>16.6307168045869</v>
      </c>
    </row>
    <row r="199" spans="1:14" hidden="1" x14ac:dyDescent="0.3">
      <c r="A199" s="5">
        <v>20</v>
      </c>
      <c r="B199" s="5" t="str">
        <f>_xlfn.XLOOKUP(D199,'[1]Viirs77-Sol'!$C$2:$C$694,'[1]Viirs77-Sol'!$A$2:$A$694)</f>
        <v>TH-46</v>
      </c>
      <c r="C199" s="5" t="str">
        <f>_xlfn.XLOOKUP(D199,cleanprovinces!$B:$B,cleanprovinces!$A:$A)</f>
        <v>NE</v>
      </c>
      <c r="D199" s="5" t="s">
        <v>34</v>
      </c>
      <c r="E199" s="6">
        <v>2019</v>
      </c>
      <c r="F199" s="7" cm="1">
        <f t="array" ref="F199">_xlfn.XLOOKUP(D199&amp;E199,'[1]Viirs77-Sol'!$C$2:$C$694&amp;'[1]Viirs77-Sol'!$D$2:$D$694,'[1]Viirs77-Sol'!$E$2:$E$694)</f>
        <v>17300.87082</v>
      </c>
      <c r="G199" s="7" cm="1">
        <f t="array" ref="G199">_xlfn.XLOOKUP(B199&amp;E199,'[2]Viirs77-Mean'!$A$2:$A$694&amp;'[2]Viirs77-Mean'!$D$2:$D$694,'[2]Viirs77-Mean'!$E$2:$E$694)</f>
        <v>0.51733759599999996</v>
      </c>
      <c r="H199" s="9" cm="1">
        <f t="array" ref="H199">_xlfn.XLOOKUP(D199,cleanprovinces!$B$2:$B$78,_xlfn.XLOOKUP(panel!E199,cleanprovinces!$C$1:$AC$1,cleanprovinces!$C$2:$AC$78,"no",0,1))</f>
        <v>36104</v>
      </c>
      <c r="I199" s="4">
        <f t="shared" si="10"/>
        <v>36104000000</v>
      </c>
      <c r="J199" s="3" cm="1">
        <f t="array" ref="J199">_xlfn.XLOOKUP(D199,[3]Sheet1!$B$2:$B$78,_xlfn.XLOOKUP(E199,[3]Sheet1!$C$1:$AC$1,[3]Sheet1!$C$2:$AC$78))</f>
        <v>797</v>
      </c>
      <c r="K199" s="3">
        <f t="shared" si="9"/>
        <v>797000</v>
      </c>
      <c r="L199" s="3">
        <f t="shared" si="11"/>
        <v>45299.874529485569</v>
      </c>
      <c r="M199" s="10">
        <v>103.62761093280599</v>
      </c>
      <c r="N199" s="10">
        <v>16.6307168045869</v>
      </c>
    </row>
    <row r="200" spans="1:14" hidden="1" x14ac:dyDescent="0.3">
      <c r="A200" s="5">
        <v>20</v>
      </c>
      <c r="B200" s="5" t="str">
        <f>_xlfn.XLOOKUP(D200,'[1]Viirs77-Sol'!$C$2:$C$694,'[1]Viirs77-Sol'!$A$2:$A$694)</f>
        <v>TH-46</v>
      </c>
      <c r="C200" s="5" t="str">
        <f>_xlfn.XLOOKUP(D200,cleanprovinces!$B:$B,cleanprovinces!$A:$A)</f>
        <v>NE</v>
      </c>
      <c r="D200" s="5" t="s">
        <v>34</v>
      </c>
      <c r="E200" s="6">
        <v>2020</v>
      </c>
      <c r="F200" s="7" cm="1">
        <f t="array" ref="F200">_xlfn.XLOOKUP(D200&amp;E200,'[1]Viirs77-Sol'!$C$2:$C$694&amp;'[1]Viirs77-Sol'!$D$2:$D$694,'[1]Viirs77-Sol'!$E$2:$E$694)</f>
        <v>20551.163939999999</v>
      </c>
      <c r="G200" s="7" cm="1">
        <f t="array" ref="G200">_xlfn.XLOOKUP(B200&amp;E200,'[2]Viirs77-Mean'!$A$2:$A$694&amp;'[2]Viirs77-Mean'!$D$2:$D$694,'[2]Viirs77-Mean'!$E$2:$E$694)</f>
        <v>0.61452916700000004</v>
      </c>
      <c r="H200" s="9" cm="1">
        <f t="array" ref="H200">_xlfn.XLOOKUP(D200,cleanprovinces!$B$2:$B$78,_xlfn.XLOOKUP(panel!E200,cleanprovinces!$C$1:$AC$1,cleanprovinces!$C$2:$AC$78,"no",0,1))</f>
        <v>34565</v>
      </c>
      <c r="I200" s="4">
        <f t="shared" si="10"/>
        <v>34565000000</v>
      </c>
      <c r="J200" s="3" cm="1">
        <f t="array" ref="J200">_xlfn.XLOOKUP(D200,[3]Sheet1!$B$2:$B$78,_xlfn.XLOOKUP(E200,[3]Sheet1!$C$1:$AC$1,[3]Sheet1!$C$2:$AC$78))</f>
        <v>792</v>
      </c>
      <c r="K200" s="3">
        <f t="shared" si="9"/>
        <v>792000</v>
      </c>
      <c r="L200" s="3">
        <f t="shared" si="11"/>
        <v>43642.67676767677</v>
      </c>
      <c r="M200" s="10">
        <v>103.62761093280599</v>
      </c>
      <c r="N200" s="10">
        <v>16.6307168045869</v>
      </c>
    </row>
    <row r="201" spans="1:14" hidden="1" x14ac:dyDescent="0.3">
      <c r="A201" s="5">
        <v>20</v>
      </c>
      <c r="B201" s="5" t="str">
        <f>_xlfn.XLOOKUP(D201,'[1]Viirs77-Sol'!$C$2:$C$694,'[1]Viirs77-Sol'!$A$2:$A$694)</f>
        <v>TH-46</v>
      </c>
      <c r="C201" s="5" t="str">
        <f>_xlfn.XLOOKUP(D201,cleanprovinces!$B:$B,cleanprovinces!$A:$A)</f>
        <v>NE</v>
      </c>
      <c r="D201" s="5" t="s">
        <v>34</v>
      </c>
      <c r="E201" s="6">
        <v>2021</v>
      </c>
      <c r="F201" s="7" cm="1">
        <f t="array" ref="F201">_xlfn.XLOOKUP(D201&amp;E201,'[1]Viirs77-Sol'!$C$2:$C$694&amp;'[1]Viirs77-Sol'!$D$2:$D$694,'[1]Viirs77-Sol'!$E$2:$E$694)</f>
        <v>23417.15914</v>
      </c>
      <c r="G201" s="7" cm="1">
        <f t="array" ref="G201">_xlfn.XLOOKUP(B201&amp;E201,'[2]Viirs77-Mean'!$A$2:$A$694&amp;'[2]Viirs77-Mean'!$D$2:$D$694,'[2]Viirs77-Mean'!$E$2:$E$694)</f>
        <v>0.70022930800000005</v>
      </c>
      <c r="H201" s="9" cm="1">
        <f t="array" ref="H201">_xlfn.XLOOKUP(D201,cleanprovinces!$B$2:$B$78,_xlfn.XLOOKUP(panel!E201,cleanprovinces!$C$1:$AC$1,cleanprovinces!$C$2:$AC$78,"no",0,1))</f>
        <v>35750</v>
      </c>
      <c r="I201" s="4">
        <f t="shared" si="10"/>
        <v>35750000000</v>
      </c>
      <c r="J201" s="3" cm="1">
        <f t="array" ref="J201">_xlfn.XLOOKUP(D201,[3]Sheet1!$B$2:$B$78,_xlfn.XLOOKUP(E201,[3]Sheet1!$C$1:$AC$1,[3]Sheet1!$C$2:$AC$78))</f>
        <v>788</v>
      </c>
      <c r="K201" s="3">
        <f t="shared" si="9"/>
        <v>788000</v>
      </c>
      <c r="L201" s="3">
        <f t="shared" si="11"/>
        <v>45368.020304568527</v>
      </c>
      <c r="M201" s="10">
        <v>103.62761093280599</v>
      </c>
      <c r="N201" s="10">
        <v>16.6307168045869</v>
      </c>
    </row>
    <row r="202" spans="1:14" hidden="1" x14ac:dyDescent="0.3">
      <c r="A202" s="5">
        <v>15</v>
      </c>
      <c r="B202" s="5" t="str">
        <f>_xlfn.XLOOKUP(D202,'[1]Viirs77-Sol'!$C$2:$C$694,'[1]Viirs77-Sol'!$A$2:$A$694)</f>
        <v>TH-40</v>
      </c>
      <c r="C202" s="5" t="str">
        <f>_xlfn.XLOOKUP(D202,cleanprovinces!$B:$B,cleanprovinces!$A:$A)</f>
        <v>NE</v>
      </c>
      <c r="D202" s="5" t="s">
        <v>27</v>
      </c>
      <c r="E202" s="6">
        <v>2014</v>
      </c>
      <c r="F202" s="7" cm="1">
        <f t="array" ref="F202">_xlfn.XLOOKUP(D202&amp;E202,'[1]Viirs77-Sol'!$C$2:$C$694&amp;'[1]Viirs77-Sol'!$D$2:$D$694,'[1]Viirs77-Sol'!$E$2:$E$694)</f>
        <v>28259.716130000001</v>
      </c>
      <c r="G202" s="7" cm="1">
        <f t="array" ref="G202">_xlfn.XLOOKUP(B202&amp;E202,'[2]Viirs77-Mean'!$A$2:$A$694&amp;'[2]Viirs77-Mean'!$D$2:$D$694,'[2]Viirs77-Mean'!$E$2:$E$694)</f>
        <v>0.54013291799999996</v>
      </c>
      <c r="H202" s="9" cm="1">
        <f t="array" ref="H202">_xlfn.XLOOKUP(D202,cleanprovinces!$B$2:$B$78,_xlfn.XLOOKUP(panel!E202,cleanprovinces!$C$1:$AC$1,cleanprovinces!$C$2:$AC$78,"no",0,1))</f>
        <v>124937</v>
      </c>
      <c r="I202" s="4">
        <f t="shared" si="10"/>
        <v>124937000000</v>
      </c>
      <c r="J202" s="3" cm="1">
        <f t="array" ref="J202">_xlfn.XLOOKUP(D202,[3]Sheet1!$B$2:$B$78,_xlfn.XLOOKUP(E202,[3]Sheet1!$C$1:$AC$1,[3]Sheet1!$C$2:$AC$78))</f>
        <v>1729</v>
      </c>
      <c r="K202" s="3">
        <f t="shared" si="9"/>
        <v>1729000</v>
      </c>
      <c r="L202" s="3">
        <f t="shared" si="11"/>
        <v>72259.687680740317</v>
      </c>
      <c r="M202" s="10">
        <v>102.585380559234</v>
      </c>
      <c r="N202" s="10">
        <v>16.404240600566599</v>
      </c>
    </row>
    <row r="203" spans="1:14" hidden="1" x14ac:dyDescent="0.3">
      <c r="A203" s="5">
        <v>15</v>
      </c>
      <c r="B203" s="5" t="str">
        <f>_xlfn.XLOOKUP(D203,'[1]Viirs77-Sol'!$C$2:$C$694,'[1]Viirs77-Sol'!$A$2:$A$694)</f>
        <v>TH-40</v>
      </c>
      <c r="C203" s="5" t="str">
        <f>_xlfn.XLOOKUP(D203,cleanprovinces!$B:$B,cleanprovinces!$A:$A)</f>
        <v>NE</v>
      </c>
      <c r="D203" s="5" t="s">
        <v>27</v>
      </c>
      <c r="E203" s="6">
        <v>2015</v>
      </c>
      <c r="F203" s="7" cm="1">
        <f t="array" ref="F203">_xlfn.XLOOKUP(D203&amp;E203,'[1]Viirs77-Sol'!$C$2:$C$694&amp;'[1]Viirs77-Sol'!$D$2:$D$694,'[1]Viirs77-Sol'!$E$2:$E$694)</f>
        <v>30769.12023</v>
      </c>
      <c r="G203" s="7" cm="1">
        <f t="array" ref="G203">_xlfn.XLOOKUP(B203&amp;E203,'[2]Viirs77-Mean'!$A$2:$A$694&amp;'[2]Viirs77-Mean'!$D$2:$D$694,'[2]Viirs77-Mean'!$E$2:$E$694)</f>
        <v>0.58809559899999997</v>
      </c>
      <c r="H203" s="9" cm="1">
        <f t="array" ref="H203">_xlfn.XLOOKUP(D203,cleanprovinces!$B$2:$B$78,_xlfn.XLOOKUP(panel!E203,cleanprovinces!$C$1:$AC$1,cleanprovinces!$C$2:$AC$78,"no",0,1))</f>
        <v>126588</v>
      </c>
      <c r="I203" s="4">
        <f t="shared" si="10"/>
        <v>126588000000</v>
      </c>
      <c r="J203" s="3" cm="1">
        <f t="array" ref="J203">_xlfn.XLOOKUP(D203,[3]Sheet1!$B$2:$B$78,_xlfn.XLOOKUP(E203,[3]Sheet1!$C$1:$AC$1,[3]Sheet1!$C$2:$AC$78))</f>
        <v>1726</v>
      </c>
      <c r="K203" s="3">
        <f t="shared" si="9"/>
        <v>1726000</v>
      </c>
      <c r="L203" s="3">
        <f t="shared" si="11"/>
        <v>73341.830822711476</v>
      </c>
      <c r="M203" s="10">
        <v>102.585380559234</v>
      </c>
      <c r="N203" s="10">
        <v>16.404240600566599</v>
      </c>
    </row>
    <row r="204" spans="1:14" hidden="1" x14ac:dyDescent="0.3">
      <c r="A204" s="5">
        <v>15</v>
      </c>
      <c r="B204" s="5" t="str">
        <f>_xlfn.XLOOKUP(D204,'[1]Viirs77-Sol'!$C$2:$C$694,'[1]Viirs77-Sol'!$A$2:$A$694)</f>
        <v>TH-40</v>
      </c>
      <c r="C204" s="5" t="str">
        <f>_xlfn.XLOOKUP(D204,cleanprovinces!$B:$B,cleanprovinces!$A:$A)</f>
        <v>NE</v>
      </c>
      <c r="D204" s="5" t="s">
        <v>27</v>
      </c>
      <c r="E204" s="6">
        <v>2016</v>
      </c>
      <c r="F204" s="7" cm="1">
        <f t="array" ref="F204">_xlfn.XLOOKUP(D204&amp;E204,'[1]Viirs77-Sol'!$C$2:$C$694&amp;'[1]Viirs77-Sol'!$D$2:$D$694,'[1]Viirs77-Sol'!$E$2:$E$694)</f>
        <v>31416.70318</v>
      </c>
      <c r="G204" s="7" cm="1">
        <f t="array" ref="G204">_xlfn.XLOOKUP(B204&amp;E204,'[2]Viirs77-Mean'!$A$2:$A$694&amp;'[2]Viirs77-Mean'!$D$2:$D$694,'[2]Viirs77-Mean'!$E$2:$E$694)</f>
        <v>0.600472966</v>
      </c>
      <c r="H204" s="9" cm="1">
        <f t="array" ref="H204">_xlfn.XLOOKUP(D204,cleanprovinces!$B$2:$B$78,_xlfn.XLOOKUP(panel!E204,cleanprovinces!$C$1:$AC$1,cleanprovinces!$C$2:$AC$78,"no",0,1))</f>
        <v>126769</v>
      </c>
      <c r="I204" s="4">
        <f t="shared" si="10"/>
        <v>126769000000</v>
      </c>
      <c r="J204" s="3" cm="1">
        <f t="array" ref="J204">_xlfn.XLOOKUP(D204,[3]Sheet1!$B$2:$B$78,_xlfn.XLOOKUP(E204,[3]Sheet1!$C$1:$AC$1,[3]Sheet1!$C$2:$AC$78))</f>
        <v>1723</v>
      </c>
      <c r="K204" s="3">
        <f t="shared" si="9"/>
        <v>1723000</v>
      </c>
      <c r="L204" s="3">
        <f t="shared" si="11"/>
        <v>73574.579222286702</v>
      </c>
      <c r="M204" s="10">
        <v>102.585380559234</v>
      </c>
      <c r="N204" s="10">
        <v>16.404240600566599</v>
      </c>
    </row>
    <row r="205" spans="1:14" hidden="1" x14ac:dyDescent="0.3">
      <c r="A205" s="5">
        <v>15</v>
      </c>
      <c r="B205" s="5" t="str">
        <f>_xlfn.XLOOKUP(D205,'[1]Viirs77-Sol'!$C$2:$C$694,'[1]Viirs77-Sol'!$A$2:$A$694)</f>
        <v>TH-40</v>
      </c>
      <c r="C205" s="5" t="str">
        <f>_xlfn.XLOOKUP(D205,cleanprovinces!$B:$B,cleanprovinces!$A:$A)</f>
        <v>NE</v>
      </c>
      <c r="D205" s="5" t="s">
        <v>27</v>
      </c>
      <c r="E205" s="6">
        <v>2017</v>
      </c>
      <c r="F205" s="7" cm="1">
        <f t="array" ref="F205">_xlfn.XLOOKUP(D205&amp;E205,'[1]Viirs77-Sol'!$C$2:$C$694&amp;'[1]Viirs77-Sol'!$D$2:$D$694,'[1]Viirs77-Sol'!$E$2:$E$694)</f>
        <v>37311.725010000002</v>
      </c>
      <c r="G205" s="7" cm="1">
        <f t="array" ref="G205">_xlfn.XLOOKUP(B205&amp;E205,'[2]Viirs77-Mean'!$A$2:$A$694&amp;'[2]Viirs77-Mean'!$D$2:$D$694,'[2]Viirs77-Mean'!$E$2:$E$694)</f>
        <v>0.71314555300000004</v>
      </c>
      <c r="H205" s="9" cm="1">
        <f t="array" ref="H205">_xlfn.XLOOKUP(D205,cleanprovinces!$B$2:$B$78,_xlfn.XLOOKUP(panel!E205,cleanprovinces!$C$1:$AC$1,cleanprovinces!$C$2:$AC$78,"no",0,1))</f>
        <v>132027</v>
      </c>
      <c r="I205" s="4">
        <f t="shared" si="10"/>
        <v>132027000000</v>
      </c>
      <c r="J205" s="3" cm="1">
        <f t="array" ref="J205">_xlfn.XLOOKUP(D205,[3]Sheet1!$B$2:$B$78,_xlfn.XLOOKUP(E205,[3]Sheet1!$C$1:$AC$1,[3]Sheet1!$C$2:$AC$78))</f>
        <v>1721</v>
      </c>
      <c r="K205" s="3">
        <f t="shared" si="9"/>
        <v>1721000</v>
      </c>
      <c r="L205" s="3">
        <f t="shared" si="11"/>
        <v>76715.281812899484</v>
      </c>
      <c r="M205" s="10">
        <v>102.585380559234</v>
      </c>
      <c r="N205" s="10">
        <v>16.404240600566599</v>
      </c>
    </row>
    <row r="206" spans="1:14" hidden="1" x14ac:dyDescent="0.3">
      <c r="A206" s="5">
        <v>15</v>
      </c>
      <c r="B206" s="5" t="str">
        <f>_xlfn.XLOOKUP(D206,'[1]Viirs77-Sol'!$C$2:$C$694,'[1]Viirs77-Sol'!$A$2:$A$694)</f>
        <v>TH-40</v>
      </c>
      <c r="C206" s="5" t="str">
        <f>_xlfn.XLOOKUP(D206,cleanprovinces!$B:$B,cleanprovinces!$A:$A)</f>
        <v>NE</v>
      </c>
      <c r="D206" s="5" t="s">
        <v>27</v>
      </c>
      <c r="E206" s="6">
        <v>2018</v>
      </c>
      <c r="F206" s="7" cm="1">
        <f t="array" ref="F206">_xlfn.XLOOKUP(D206&amp;E206,'[1]Viirs77-Sol'!$C$2:$C$694&amp;'[1]Viirs77-Sol'!$D$2:$D$694,'[1]Viirs77-Sol'!$E$2:$E$694)</f>
        <v>40423.731359999998</v>
      </c>
      <c r="G206" s="7" cm="1">
        <f t="array" ref="G206">_xlfn.XLOOKUP(B206&amp;E206,'[2]Viirs77-Mean'!$A$2:$A$694&amp;'[2]Viirs77-Mean'!$D$2:$D$694,'[2]Viirs77-Mean'!$E$2:$E$694)</f>
        <v>0.77262587699999996</v>
      </c>
      <c r="H206" s="9" cm="1">
        <f t="array" ref="H206">_xlfn.XLOOKUP(D206,cleanprovinces!$B$2:$B$78,_xlfn.XLOOKUP(panel!E206,cleanprovinces!$C$1:$AC$1,cleanprovinces!$C$2:$AC$78,"no",0,1))</f>
        <v>136849</v>
      </c>
      <c r="I206" s="4">
        <f t="shared" si="10"/>
        <v>136849000000</v>
      </c>
      <c r="J206" s="3" cm="1">
        <f t="array" ref="J206">_xlfn.XLOOKUP(D206,[3]Sheet1!$B$2:$B$78,_xlfn.XLOOKUP(E206,[3]Sheet1!$C$1:$AC$1,[3]Sheet1!$C$2:$AC$78))</f>
        <v>1718</v>
      </c>
      <c r="K206" s="3">
        <f t="shared" si="9"/>
        <v>1718000</v>
      </c>
      <c r="L206" s="3">
        <f t="shared" si="11"/>
        <v>79655.99534342259</v>
      </c>
      <c r="M206" s="10">
        <v>102.585380559234</v>
      </c>
      <c r="N206" s="10">
        <v>16.404240600566599</v>
      </c>
    </row>
    <row r="207" spans="1:14" hidden="1" x14ac:dyDescent="0.3">
      <c r="A207" s="5">
        <v>15</v>
      </c>
      <c r="B207" s="5" t="str">
        <f>_xlfn.XLOOKUP(D207,'[1]Viirs77-Sol'!$C$2:$C$694,'[1]Viirs77-Sol'!$A$2:$A$694)</f>
        <v>TH-40</v>
      </c>
      <c r="C207" s="5" t="str">
        <f>_xlfn.XLOOKUP(D207,cleanprovinces!$B:$B,cleanprovinces!$A:$A)</f>
        <v>NE</v>
      </c>
      <c r="D207" s="5" t="s">
        <v>27</v>
      </c>
      <c r="E207" s="6">
        <v>2019</v>
      </c>
      <c r="F207" s="7" cm="1">
        <f t="array" ref="F207">_xlfn.XLOOKUP(D207&amp;E207,'[1]Viirs77-Sol'!$C$2:$C$694&amp;'[1]Viirs77-Sol'!$D$2:$D$694,'[1]Viirs77-Sol'!$E$2:$E$694)</f>
        <v>42094.612959999999</v>
      </c>
      <c r="G207" s="7" cm="1">
        <f t="array" ref="G207">_xlfn.XLOOKUP(B207&amp;E207,'[2]Viirs77-Mean'!$A$2:$A$694&amp;'[2]Viirs77-Mean'!$D$2:$D$694,'[2]Viirs77-Mean'!$E$2:$E$694)</f>
        <v>0.80456173099999995</v>
      </c>
      <c r="H207" s="9" cm="1">
        <f t="array" ref="H207">_xlfn.XLOOKUP(D207,cleanprovinces!$B$2:$B$78,_xlfn.XLOOKUP(panel!E207,cleanprovinces!$C$1:$AC$1,cleanprovinces!$C$2:$AC$78,"no",0,1))</f>
        <v>135169</v>
      </c>
      <c r="I207" s="4">
        <f t="shared" si="10"/>
        <v>135169000000</v>
      </c>
      <c r="J207" s="3" cm="1">
        <f t="array" ref="J207">_xlfn.XLOOKUP(D207,[3]Sheet1!$B$2:$B$78,_xlfn.XLOOKUP(E207,[3]Sheet1!$C$1:$AC$1,[3]Sheet1!$C$2:$AC$78))</f>
        <v>1716</v>
      </c>
      <c r="K207" s="3">
        <f t="shared" si="9"/>
        <v>1716000</v>
      </c>
      <c r="L207" s="3">
        <f t="shared" si="11"/>
        <v>78769.813519813513</v>
      </c>
      <c r="M207" s="10">
        <v>102.585380559234</v>
      </c>
      <c r="N207" s="10">
        <v>16.404240600566599</v>
      </c>
    </row>
    <row r="208" spans="1:14" hidden="1" x14ac:dyDescent="0.3">
      <c r="A208" s="5">
        <v>15</v>
      </c>
      <c r="B208" s="5" t="str">
        <f>_xlfn.XLOOKUP(D208,'[1]Viirs77-Sol'!$C$2:$C$694,'[1]Viirs77-Sol'!$A$2:$A$694)</f>
        <v>TH-40</v>
      </c>
      <c r="C208" s="5" t="str">
        <f>_xlfn.XLOOKUP(D208,cleanprovinces!$B:$B,cleanprovinces!$A:$A)</f>
        <v>NE</v>
      </c>
      <c r="D208" s="5" t="s">
        <v>27</v>
      </c>
      <c r="E208" s="6">
        <v>2020</v>
      </c>
      <c r="F208" s="7" cm="1">
        <f t="array" ref="F208">_xlfn.XLOOKUP(D208&amp;E208,'[1]Viirs77-Sol'!$C$2:$C$694&amp;'[1]Viirs77-Sol'!$D$2:$D$694,'[1]Viirs77-Sol'!$E$2:$E$694)</f>
        <v>45319.805529999998</v>
      </c>
      <c r="G208" s="7" cm="1">
        <f t="array" ref="G208">_xlfn.XLOOKUP(B208&amp;E208,'[2]Viirs77-Mean'!$A$2:$A$694&amp;'[2]Viirs77-Mean'!$D$2:$D$694,'[2]Viirs77-Mean'!$E$2:$E$694)</f>
        <v>0.86620540300000004</v>
      </c>
      <c r="H208" s="9" cm="1">
        <f t="array" ref="H208">_xlfn.XLOOKUP(D208,cleanprovinces!$B$2:$B$78,_xlfn.XLOOKUP(panel!E208,cleanprovinces!$C$1:$AC$1,cleanprovinces!$C$2:$AC$78,"no",0,1))</f>
        <v>130935</v>
      </c>
      <c r="I208" s="4">
        <f t="shared" si="10"/>
        <v>130935000000</v>
      </c>
      <c r="J208" s="3" cm="1">
        <f t="array" ref="J208">_xlfn.XLOOKUP(D208,[3]Sheet1!$B$2:$B$78,_xlfn.XLOOKUP(E208,[3]Sheet1!$C$1:$AC$1,[3]Sheet1!$C$2:$AC$78))</f>
        <v>1714</v>
      </c>
      <c r="K208" s="3">
        <f t="shared" si="9"/>
        <v>1714000</v>
      </c>
      <c r="L208" s="3">
        <f t="shared" si="11"/>
        <v>76391.481913652271</v>
      </c>
      <c r="M208" s="10">
        <v>102.585380559234</v>
      </c>
      <c r="N208" s="10">
        <v>16.404240600566599</v>
      </c>
    </row>
    <row r="209" spans="1:14" hidden="1" x14ac:dyDescent="0.3">
      <c r="A209" s="5">
        <v>15</v>
      </c>
      <c r="B209" s="5" t="str">
        <f>_xlfn.XLOOKUP(D209,'[1]Viirs77-Sol'!$C$2:$C$694,'[1]Viirs77-Sol'!$A$2:$A$694)</f>
        <v>TH-40</v>
      </c>
      <c r="C209" s="5" t="str">
        <f>_xlfn.XLOOKUP(D209,cleanprovinces!$B:$B,cleanprovinces!$A:$A)</f>
        <v>NE</v>
      </c>
      <c r="D209" s="5" t="s">
        <v>27</v>
      </c>
      <c r="E209" s="6">
        <v>2021</v>
      </c>
      <c r="F209" s="7" cm="1">
        <f t="array" ref="F209">_xlfn.XLOOKUP(D209&amp;E209,'[1]Viirs77-Sol'!$C$2:$C$694&amp;'[1]Viirs77-Sol'!$D$2:$D$694,'[1]Viirs77-Sol'!$E$2:$E$694)</f>
        <v>51323.814899999998</v>
      </c>
      <c r="G209" s="7" cm="1">
        <f t="array" ref="G209">_xlfn.XLOOKUP(B209&amp;E209,'[2]Viirs77-Mean'!$A$2:$A$694&amp;'[2]Viirs77-Mean'!$D$2:$D$694,'[2]Viirs77-Mean'!$E$2:$E$694)</f>
        <v>0.98096108800000004</v>
      </c>
      <c r="H209" s="9" cm="1">
        <f t="array" ref="H209">_xlfn.XLOOKUP(D209,cleanprovinces!$B$2:$B$78,_xlfn.XLOOKUP(panel!E209,cleanprovinces!$C$1:$AC$1,cleanprovinces!$C$2:$AC$78,"no",0,1))</f>
        <v>132615</v>
      </c>
      <c r="I209" s="4">
        <f t="shared" si="10"/>
        <v>132615000000</v>
      </c>
      <c r="J209" s="3" cm="1">
        <f t="array" ref="J209">_xlfn.XLOOKUP(D209,[3]Sheet1!$B$2:$B$78,_xlfn.XLOOKUP(E209,[3]Sheet1!$C$1:$AC$1,[3]Sheet1!$C$2:$AC$78))</f>
        <v>1711</v>
      </c>
      <c r="K209" s="3">
        <f t="shared" si="9"/>
        <v>1711000</v>
      </c>
      <c r="L209" s="3">
        <f t="shared" si="11"/>
        <v>77507.305669199297</v>
      </c>
      <c r="M209" s="10">
        <v>102.585380559234</v>
      </c>
      <c r="N209" s="10">
        <v>16.404240600566599</v>
      </c>
    </row>
    <row r="210" spans="1:14" hidden="1" x14ac:dyDescent="0.3">
      <c r="A210" s="5">
        <v>16</v>
      </c>
      <c r="B210" s="5" t="str">
        <f>_xlfn.XLOOKUP(D210,'[1]Viirs77-Sol'!$C$2:$C$694,'[1]Viirs77-Sol'!$A$2:$A$694)</f>
        <v>TH-42</v>
      </c>
      <c r="C210" s="5" t="str">
        <f>_xlfn.XLOOKUP(D210,cleanprovinces!$B:$B,cleanprovinces!$A:$A)</f>
        <v>NE</v>
      </c>
      <c r="D210" s="5" t="s">
        <v>29</v>
      </c>
      <c r="E210" s="6">
        <v>2014</v>
      </c>
      <c r="F210" s="7" cm="1">
        <f t="array" ref="F210">_xlfn.XLOOKUP(D210&amp;E210,'[1]Viirs77-Sol'!$C$2:$C$694&amp;'[1]Viirs77-Sol'!$D$2:$D$694,'[1]Viirs77-Sol'!$E$2:$E$694)</f>
        <v>7033.330113</v>
      </c>
      <c r="G210" s="7" cm="1">
        <f t="array" ref="G210">_xlfn.XLOOKUP(B210&amp;E210,'[2]Viirs77-Mean'!$A$2:$A$694&amp;'[2]Viirs77-Mean'!$D$2:$D$694,'[2]Viirs77-Mean'!$E$2:$E$694)</f>
        <v>0.137533144</v>
      </c>
      <c r="H210" s="9" cm="1">
        <f t="array" ref="H210">_xlfn.XLOOKUP(D210,cleanprovinces!$B$2:$B$78,_xlfn.XLOOKUP(panel!E210,cleanprovinces!$C$1:$AC$1,cleanprovinces!$C$2:$AC$78,"no",0,1))</f>
        <v>25944</v>
      </c>
      <c r="I210" s="4">
        <f t="shared" si="10"/>
        <v>25944000000</v>
      </c>
      <c r="J210" s="3" cm="1">
        <f t="array" ref="J210">_xlfn.XLOOKUP(D210,[3]Sheet1!$B$2:$B$78,_xlfn.XLOOKUP(E210,[3]Sheet1!$C$1:$AC$1,[3]Sheet1!$C$2:$AC$78))</f>
        <v>544</v>
      </c>
      <c r="K210" s="3">
        <f t="shared" si="9"/>
        <v>544000</v>
      </c>
      <c r="L210" s="3">
        <f t="shared" si="11"/>
        <v>47691.176470588238</v>
      </c>
      <c r="M210" s="10">
        <v>101.62937410098399</v>
      </c>
      <c r="N210" s="10">
        <v>17.410402392078499</v>
      </c>
    </row>
    <row r="211" spans="1:14" hidden="1" x14ac:dyDescent="0.3">
      <c r="A211" s="5">
        <v>16</v>
      </c>
      <c r="B211" s="5" t="str">
        <f>_xlfn.XLOOKUP(D211,'[1]Viirs77-Sol'!$C$2:$C$694,'[1]Viirs77-Sol'!$A$2:$A$694)</f>
        <v>TH-42</v>
      </c>
      <c r="C211" s="5" t="str">
        <f>_xlfn.XLOOKUP(D211,cleanprovinces!$B:$B,cleanprovinces!$A:$A)</f>
        <v>NE</v>
      </c>
      <c r="D211" s="5" t="s">
        <v>29</v>
      </c>
      <c r="E211" s="6">
        <v>2015</v>
      </c>
      <c r="F211" s="7" cm="1">
        <f t="array" ref="F211">_xlfn.XLOOKUP(D211&amp;E211,'[1]Viirs77-Sol'!$C$2:$C$694&amp;'[1]Viirs77-Sol'!$D$2:$D$694,'[1]Viirs77-Sol'!$E$2:$E$694)</f>
        <v>7597.8558229999999</v>
      </c>
      <c r="G211" s="7" cm="1">
        <f t="array" ref="G211">_xlfn.XLOOKUP(B211&amp;E211,'[2]Viirs77-Mean'!$A$2:$A$694&amp;'[2]Viirs77-Mean'!$D$2:$D$694,'[2]Viirs77-Mean'!$E$2:$E$694)</f>
        <v>0.14857215300000001</v>
      </c>
      <c r="H211" s="9" cm="1">
        <f t="array" ref="H211">_xlfn.XLOOKUP(D211,cleanprovinces!$B$2:$B$78,_xlfn.XLOOKUP(panel!E211,cleanprovinces!$C$1:$AC$1,cleanprovinces!$C$2:$AC$78,"no",0,1))</f>
        <v>26696</v>
      </c>
      <c r="I211" s="4">
        <f t="shared" si="10"/>
        <v>26696000000</v>
      </c>
      <c r="J211" s="3" cm="1">
        <f t="array" ref="J211">_xlfn.XLOOKUP(D211,[3]Sheet1!$B$2:$B$78,_xlfn.XLOOKUP(E211,[3]Sheet1!$C$1:$AC$1,[3]Sheet1!$C$2:$AC$78))</f>
        <v>544</v>
      </c>
      <c r="K211" s="3">
        <f t="shared" si="9"/>
        <v>544000</v>
      </c>
      <c r="L211" s="3">
        <f t="shared" si="11"/>
        <v>49073.529411764706</v>
      </c>
      <c r="M211" s="10">
        <v>101.62937410098399</v>
      </c>
      <c r="N211" s="10">
        <v>17.410402392078499</v>
      </c>
    </row>
    <row r="212" spans="1:14" hidden="1" x14ac:dyDescent="0.3">
      <c r="A212" s="5">
        <v>16</v>
      </c>
      <c r="B212" s="5" t="str">
        <f>_xlfn.XLOOKUP(D212,'[1]Viirs77-Sol'!$C$2:$C$694,'[1]Viirs77-Sol'!$A$2:$A$694)</f>
        <v>TH-42</v>
      </c>
      <c r="C212" s="5" t="str">
        <f>_xlfn.XLOOKUP(D212,cleanprovinces!$B:$B,cleanprovinces!$A:$A)</f>
        <v>NE</v>
      </c>
      <c r="D212" s="5" t="s">
        <v>29</v>
      </c>
      <c r="E212" s="6">
        <v>2016</v>
      </c>
      <c r="F212" s="7" cm="1">
        <f t="array" ref="F212">_xlfn.XLOOKUP(D212&amp;E212,'[1]Viirs77-Sol'!$C$2:$C$694&amp;'[1]Viirs77-Sol'!$D$2:$D$694,'[1]Viirs77-Sol'!$E$2:$E$694)</f>
        <v>7356.775071</v>
      </c>
      <c r="G212" s="7" cm="1">
        <f t="array" ref="G212">_xlfn.XLOOKUP(B212&amp;E212,'[2]Viirs77-Mean'!$A$2:$A$694&amp;'[2]Viirs77-Mean'!$D$2:$D$694,'[2]Viirs77-Mean'!$E$2:$E$694)</f>
        <v>0.14385794399999999</v>
      </c>
      <c r="H212" s="9" cm="1">
        <f t="array" ref="H212">_xlfn.XLOOKUP(D212,cleanprovinces!$B$2:$B$78,_xlfn.XLOOKUP(panel!E212,cleanprovinces!$C$1:$AC$1,cleanprovinces!$C$2:$AC$78,"no",0,1))</f>
        <v>28228</v>
      </c>
      <c r="I212" s="4">
        <f t="shared" si="10"/>
        <v>28228000000</v>
      </c>
      <c r="J212" s="3" cm="1">
        <f t="array" ref="J212">_xlfn.XLOOKUP(D212,[3]Sheet1!$B$2:$B$78,_xlfn.XLOOKUP(E212,[3]Sheet1!$C$1:$AC$1,[3]Sheet1!$C$2:$AC$78))</f>
        <v>544</v>
      </c>
      <c r="K212" s="3">
        <f t="shared" si="9"/>
        <v>544000</v>
      </c>
      <c r="L212" s="3">
        <f t="shared" si="11"/>
        <v>51889.705882352944</v>
      </c>
      <c r="M212" s="10">
        <v>101.62937410098399</v>
      </c>
      <c r="N212" s="10">
        <v>17.410402392078499</v>
      </c>
    </row>
    <row r="213" spans="1:14" hidden="1" x14ac:dyDescent="0.3">
      <c r="A213" s="5">
        <v>16</v>
      </c>
      <c r="B213" s="5" t="str">
        <f>_xlfn.XLOOKUP(D213,'[1]Viirs77-Sol'!$C$2:$C$694,'[1]Viirs77-Sol'!$A$2:$A$694)</f>
        <v>TH-42</v>
      </c>
      <c r="C213" s="5" t="str">
        <f>_xlfn.XLOOKUP(D213,cleanprovinces!$B:$B,cleanprovinces!$A:$A)</f>
        <v>NE</v>
      </c>
      <c r="D213" s="5" t="s">
        <v>29</v>
      </c>
      <c r="E213" s="6">
        <v>2017</v>
      </c>
      <c r="F213" s="7" cm="1">
        <f t="array" ref="F213">_xlfn.XLOOKUP(D213&amp;E213,'[1]Viirs77-Sol'!$C$2:$C$694&amp;'[1]Viirs77-Sol'!$D$2:$D$694,'[1]Viirs77-Sol'!$E$2:$E$694)</f>
        <v>10049.6728</v>
      </c>
      <c r="G213" s="7" cm="1">
        <f t="array" ref="G213">_xlfn.XLOOKUP(B213&amp;E213,'[2]Viirs77-Mean'!$A$2:$A$694&amp;'[2]Viirs77-Mean'!$D$2:$D$694,'[2]Viirs77-Mean'!$E$2:$E$694)</f>
        <v>0.19651616999999999</v>
      </c>
      <c r="H213" s="9" cm="1">
        <f t="array" ref="H213">_xlfn.XLOOKUP(D213,cleanprovinces!$B$2:$B$78,_xlfn.XLOOKUP(panel!E213,cleanprovinces!$C$1:$AC$1,cleanprovinces!$C$2:$AC$78,"no",0,1))</f>
        <v>30627</v>
      </c>
      <c r="I213" s="4">
        <f t="shared" si="10"/>
        <v>30627000000</v>
      </c>
      <c r="J213" s="3" cm="1">
        <f t="array" ref="J213">_xlfn.XLOOKUP(D213,[3]Sheet1!$B$2:$B$78,_xlfn.XLOOKUP(E213,[3]Sheet1!$C$1:$AC$1,[3]Sheet1!$C$2:$AC$78))</f>
        <v>544</v>
      </c>
      <c r="K213" s="3">
        <f t="shared" si="9"/>
        <v>544000</v>
      </c>
      <c r="L213" s="3">
        <f t="shared" si="11"/>
        <v>56299.632352941175</v>
      </c>
      <c r="M213" s="10">
        <v>101.62937410098399</v>
      </c>
      <c r="N213" s="10">
        <v>17.410402392078499</v>
      </c>
    </row>
    <row r="214" spans="1:14" hidden="1" x14ac:dyDescent="0.3">
      <c r="A214" s="5">
        <v>16</v>
      </c>
      <c r="B214" s="5" t="str">
        <f>_xlfn.XLOOKUP(D214,'[1]Viirs77-Sol'!$C$2:$C$694,'[1]Viirs77-Sol'!$A$2:$A$694)</f>
        <v>TH-42</v>
      </c>
      <c r="C214" s="5" t="str">
        <f>_xlfn.XLOOKUP(D214,cleanprovinces!$B:$B,cleanprovinces!$A:$A)</f>
        <v>NE</v>
      </c>
      <c r="D214" s="5" t="s">
        <v>29</v>
      </c>
      <c r="E214" s="6">
        <v>2018</v>
      </c>
      <c r="F214" s="7" cm="1">
        <f t="array" ref="F214">_xlfn.XLOOKUP(D214&amp;E214,'[1]Viirs77-Sol'!$C$2:$C$694&amp;'[1]Viirs77-Sol'!$D$2:$D$694,'[1]Viirs77-Sol'!$E$2:$E$694)</f>
        <v>11036.39659</v>
      </c>
      <c r="G214" s="7" cm="1">
        <f t="array" ref="G214">_xlfn.XLOOKUP(B214&amp;E214,'[2]Viirs77-Mean'!$A$2:$A$694&amp;'[2]Viirs77-Mean'!$D$2:$D$694,'[2]Viirs77-Mean'!$E$2:$E$694)</f>
        <v>0.21581104500000001</v>
      </c>
      <c r="H214" s="9" cm="1">
        <f t="array" ref="H214">_xlfn.XLOOKUP(D214,cleanprovinces!$B$2:$B$78,_xlfn.XLOOKUP(panel!E214,cleanprovinces!$C$1:$AC$1,cleanprovinces!$C$2:$AC$78,"no",0,1))</f>
        <v>33994</v>
      </c>
      <c r="I214" s="4">
        <f t="shared" si="10"/>
        <v>33994000000</v>
      </c>
      <c r="J214" s="3" cm="1">
        <f t="array" ref="J214">_xlfn.XLOOKUP(D214,[3]Sheet1!$B$2:$B$78,_xlfn.XLOOKUP(E214,[3]Sheet1!$C$1:$AC$1,[3]Sheet1!$C$2:$AC$78))</f>
        <v>543</v>
      </c>
      <c r="K214" s="3">
        <f t="shared" si="9"/>
        <v>543000</v>
      </c>
      <c r="L214" s="3">
        <f t="shared" si="11"/>
        <v>62604.051565377529</v>
      </c>
      <c r="M214" s="10">
        <v>101.62937410098399</v>
      </c>
      <c r="N214" s="10">
        <v>17.410402392078499</v>
      </c>
    </row>
    <row r="215" spans="1:14" hidden="1" x14ac:dyDescent="0.3">
      <c r="A215" s="5">
        <v>16</v>
      </c>
      <c r="B215" s="5" t="str">
        <f>_xlfn.XLOOKUP(D215,'[1]Viirs77-Sol'!$C$2:$C$694,'[1]Viirs77-Sol'!$A$2:$A$694)</f>
        <v>TH-42</v>
      </c>
      <c r="C215" s="5" t="str">
        <f>_xlfn.XLOOKUP(D215,cleanprovinces!$B:$B,cleanprovinces!$A:$A)</f>
        <v>NE</v>
      </c>
      <c r="D215" s="5" t="s">
        <v>29</v>
      </c>
      <c r="E215" s="6">
        <v>2019</v>
      </c>
      <c r="F215" s="7" cm="1">
        <f t="array" ref="F215">_xlfn.XLOOKUP(D215&amp;E215,'[1]Viirs77-Sol'!$C$2:$C$694&amp;'[1]Viirs77-Sol'!$D$2:$D$694,'[1]Viirs77-Sol'!$E$2:$E$694)</f>
        <v>11678.890009999999</v>
      </c>
      <c r="G215" s="7" cm="1">
        <f t="array" ref="G215">_xlfn.XLOOKUP(B215&amp;E215,'[2]Viirs77-Mean'!$A$2:$A$694&amp;'[2]Viirs77-Mean'!$D$2:$D$694,'[2]Viirs77-Mean'!$E$2:$E$694)</f>
        <v>0.228374673</v>
      </c>
      <c r="H215" s="9" cm="1">
        <f t="array" ref="H215">_xlfn.XLOOKUP(D215,cleanprovinces!$B$2:$B$78,_xlfn.XLOOKUP(panel!E215,cleanprovinces!$C$1:$AC$1,cleanprovinces!$C$2:$AC$78,"no",0,1))</f>
        <v>33241</v>
      </c>
      <c r="I215" s="4">
        <f t="shared" si="10"/>
        <v>33241000000</v>
      </c>
      <c r="J215" s="3" cm="1">
        <f t="array" ref="J215">_xlfn.XLOOKUP(D215,[3]Sheet1!$B$2:$B$78,_xlfn.XLOOKUP(E215,[3]Sheet1!$C$1:$AC$1,[3]Sheet1!$C$2:$AC$78))</f>
        <v>542</v>
      </c>
      <c r="K215" s="3">
        <f t="shared" si="9"/>
        <v>542000</v>
      </c>
      <c r="L215" s="3">
        <f t="shared" si="11"/>
        <v>61330.258302583024</v>
      </c>
      <c r="M215" s="10">
        <v>101.62937410098399</v>
      </c>
      <c r="N215" s="10">
        <v>17.410402392078499</v>
      </c>
    </row>
    <row r="216" spans="1:14" hidden="1" x14ac:dyDescent="0.3">
      <c r="A216" s="5">
        <v>16</v>
      </c>
      <c r="B216" s="5" t="str">
        <f>_xlfn.XLOOKUP(D216,'[1]Viirs77-Sol'!$C$2:$C$694,'[1]Viirs77-Sol'!$A$2:$A$694)</f>
        <v>TH-42</v>
      </c>
      <c r="C216" s="5" t="str">
        <f>_xlfn.XLOOKUP(D216,cleanprovinces!$B:$B,cleanprovinces!$A:$A)</f>
        <v>NE</v>
      </c>
      <c r="D216" s="5" t="s">
        <v>29</v>
      </c>
      <c r="E216" s="6">
        <v>2020</v>
      </c>
      <c r="F216" s="7" cm="1">
        <f t="array" ref="F216">_xlfn.XLOOKUP(D216&amp;E216,'[1]Viirs77-Sol'!$C$2:$C$694&amp;'[1]Viirs77-Sol'!$D$2:$D$694,'[1]Viirs77-Sol'!$E$2:$E$694)</f>
        <v>12764.2207</v>
      </c>
      <c r="G216" s="7" cm="1">
        <f t="array" ref="G216">_xlfn.XLOOKUP(B216&amp;E216,'[2]Viirs77-Mean'!$A$2:$A$694&amp;'[2]Viirs77-Mean'!$D$2:$D$694,'[2]Viirs77-Mean'!$E$2:$E$694)</f>
        <v>0.249597755</v>
      </c>
      <c r="H216" s="9" cm="1">
        <f t="array" ref="H216">_xlfn.XLOOKUP(D216,cleanprovinces!$B$2:$B$78,_xlfn.XLOOKUP(panel!E216,cleanprovinces!$C$1:$AC$1,cleanprovinces!$C$2:$AC$78,"no",0,1))</f>
        <v>31437</v>
      </c>
      <c r="I216" s="4">
        <f t="shared" si="10"/>
        <v>31437000000</v>
      </c>
      <c r="J216" s="3" cm="1">
        <f t="array" ref="J216">_xlfn.XLOOKUP(D216,[3]Sheet1!$B$2:$B$78,_xlfn.XLOOKUP(E216,[3]Sheet1!$C$1:$AC$1,[3]Sheet1!$C$2:$AC$78))</f>
        <v>540</v>
      </c>
      <c r="K216" s="3">
        <f t="shared" si="9"/>
        <v>540000</v>
      </c>
      <c r="L216" s="3">
        <f t="shared" si="11"/>
        <v>58216.666666666664</v>
      </c>
      <c r="M216" s="10">
        <v>101.62937410098399</v>
      </c>
      <c r="N216" s="10">
        <v>17.410402392078499</v>
      </c>
    </row>
    <row r="217" spans="1:14" hidden="1" x14ac:dyDescent="0.3">
      <c r="A217" s="5">
        <v>16</v>
      </c>
      <c r="B217" s="5" t="str">
        <f>_xlfn.XLOOKUP(D217,'[1]Viirs77-Sol'!$C$2:$C$694,'[1]Viirs77-Sol'!$A$2:$A$694)</f>
        <v>TH-42</v>
      </c>
      <c r="C217" s="5" t="str">
        <f>_xlfn.XLOOKUP(D217,cleanprovinces!$B:$B,cleanprovinces!$A:$A)</f>
        <v>NE</v>
      </c>
      <c r="D217" s="5" t="s">
        <v>29</v>
      </c>
      <c r="E217" s="6">
        <v>2021</v>
      </c>
      <c r="F217" s="7" cm="1">
        <f t="array" ref="F217">_xlfn.XLOOKUP(D217&amp;E217,'[1]Viirs77-Sol'!$C$2:$C$694&amp;'[1]Viirs77-Sol'!$D$2:$D$694,'[1]Viirs77-Sol'!$E$2:$E$694)</f>
        <v>15020.72401</v>
      </c>
      <c r="G217" s="7" cm="1">
        <f t="array" ref="G217">_xlfn.XLOOKUP(B217&amp;E217,'[2]Viirs77-Mean'!$A$2:$A$694&amp;'[2]Viirs77-Mean'!$D$2:$D$694,'[2]Viirs77-Mean'!$E$2:$E$694)</f>
        <v>0.29372251399999999</v>
      </c>
      <c r="H217" s="9" cm="1">
        <f t="array" ref="H217">_xlfn.XLOOKUP(D217,cleanprovinces!$B$2:$B$78,_xlfn.XLOOKUP(panel!E217,cleanprovinces!$C$1:$AC$1,cleanprovinces!$C$2:$AC$78,"no",0,1))</f>
        <v>32686</v>
      </c>
      <c r="I217" s="4">
        <f t="shared" si="10"/>
        <v>32686000000</v>
      </c>
      <c r="J217" s="3" cm="1">
        <f t="array" ref="J217">_xlfn.XLOOKUP(D217,[3]Sheet1!$B$2:$B$78,_xlfn.XLOOKUP(E217,[3]Sheet1!$C$1:$AC$1,[3]Sheet1!$C$2:$AC$78))</f>
        <v>538</v>
      </c>
      <c r="K217" s="3">
        <f t="shared" si="9"/>
        <v>538000</v>
      </c>
      <c r="L217" s="3">
        <f t="shared" si="11"/>
        <v>60754.6468401487</v>
      </c>
      <c r="M217" s="10">
        <v>101.62937410098399</v>
      </c>
      <c r="N217" s="10">
        <v>17.410402392078499</v>
      </c>
    </row>
    <row r="218" spans="1:14" hidden="1" x14ac:dyDescent="0.3">
      <c r="A218" s="5">
        <v>46</v>
      </c>
      <c r="B218" s="5" t="str">
        <f>_xlfn.XLOOKUP(D218,'[1]Viirs77-Sol'!$C$2:$C$694,'[1]Viirs77-Sol'!$A$2:$A$694)</f>
        <v>TH-44</v>
      </c>
      <c r="C218" s="5" t="str">
        <f>_xlfn.XLOOKUP(D218,cleanprovinces!$B:$B,cleanprovinces!$A:$A)</f>
        <v>NE</v>
      </c>
      <c r="D218" s="5" t="s">
        <v>42</v>
      </c>
      <c r="E218" s="6">
        <v>2014</v>
      </c>
      <c r="F218" s="7" cm="1">
        <f t="array" ref="F218">_xlfn.XLOOKUP(D218&amp;E218,'[1]Viirs77-Sol'!$C$2:$C$694&amp;'[1]Viirs77-Sol'!$D$2:$D$694,'[1]Viirs77-Sol'!$E$2:$E$694)</f>
        <v>10180.40294</v>
      </c>
      <c r="G218" s="7" cm="1">
        <f t="array" ref="G218">_xlfn.XLOOKUP(B218&amp;E218,'[2]Viirs77-Mean'!$A$2:$A$694&amp;'[2]Viirs77-Mean'!$D$2:$D$694,'[2]Viirs77-Mean'!$E$2:$E$694)</f>
        <v>0.36482956100000002</v>
      </c>
      <c r="H218" s="9" cm="1">
        <f t="array" ref="H218">_xlfn.XLOOKUP(D218,cleanprovinces!$B$2:$B$78,_xlfn.XLOOKUP(panel!E218,cleanprovinces!$C$1:$AC$1,cleanprovinces!$C$2:$AC$78,"no",0,1))</f>
        <v>29537</v>
      </c>
      <c r="I218" s="4">
        <f t="shared" si="10"/>
        <v>29537000000</v>
      </c>
      <c r="J218" s="3" cm="1">
        <f t="array" ref="J218">_xlfn.XLOOKUP(D218,[3]Sheet1!$B$2:$B$78,_xlfn.XLOOKUP(E218,[3]Sheet1!$C$1:$AC$1,[3]Sheet1!$C$2:$AC$78))</f>
        <v>812</v>
      </c>
      <c r="K218" s="3">
        <f t="shared" si="9"/>
        <v>812000</v>
      </c>
      <c r="L218" s="3">
        <f t="shared" si="11"/>
        <v>36375.615763546797</v>
      </c>
      <c r="M218" s="10">
        <v>103.177941405651</v>
      </c>
      <c r="N218" s="10">
        <v>15.992903703029899</v>
      </c>
    </row>
    <row r="219" spans="1:14" hidden="1" x14ac:dyDescent="0.3">
      <c r="A219" s="5">
        <v>46</v>
      </c>
      <c r="B219" s="5" t="str">
        <f>_xlfn.XLOOKUP(D219,'[1]Viirs77-Sol'!$C$2:$C$694,'[1]Viirs77-Sol'!$A$2:$A$694)</f>
        <v>TH-44</v>
      </c>
      <c r="C219" s="5" t="str">
        <f>_xlfn.XLOOKUP(D219,cleanprovinces!$B:$B,cleanprovinces!$A:$A)</f>
        <v>NE</v>
      </c>
      <c r="D219" s="5" t="s">
        <v>42</v>
      </c>
      <c r="E219" s="6">
        <v>2015</v>
      </c>
      <c r="F219" s="7" cm="1">
        <f t="array" ref="F219">_xlfn.XLOOKUP(D219&amp;E219,'[1]Viirs77-Sol'!$C$2:$C$694&amp;'[1]Viirs77-Sol'!$D$2:$D$694,'[1]Viirs77-Sol'!$E$2:$E$694)</f>
        <v>11834.477929999999</v>
      </c>
      <c r="G219" s="7" cm="1">
        <f t="array" ref="G219">_xlfn.XLOOKUP(B219&amp;E219,'[2]Viirs77-Mean'!$A$2:$A$694&amp;'[2]Viirs77-Mean'!$D$2:$D$694,'[2]Viirs77-Mean'!$E$2:$E$694)</f>
        <v>0.42410574699999998</v>
      </c>
      <c r="H219" s="9" cm="1">
        <f t="array" ref="H219">_xlfn.XLOOKUP(D219,cleanprovinces!$B$2:$B$78,_xlfn.XLOOKUP(panel!E219,cleanprovinces!$C$1:$AC$1,cleanprovinces!$C$2:$AC$78,"no",0,1))</f>
        <v>30419</v>
      </c>
      <c r="I219" s="4">
        <f t="shared" si="10"/>
        <v>30419000000</v>
      </c>
      <c r="J219" s="3" cm="1">
        <f t="array" ref="J219">_xlfn.XLOOKUP(D219,[3]Sheet1!$B$2:$B$78,_xlfn.XLOOKUP(E219,[3]Sheet1!$C$1:$AC$1,[3]Sheet1!$C$2:$AC$78))</f>
        <v>809</v>
      </c>
      <c r="K219" s="3">
        <f t="shared" si="9"/>
        <v>809000</v>
      </c>
      <c r="L219" s="3">
        <f t="shared" si="11"/>
        <v>37600.741656365884</v>
      </c>
      <c r="M219" s="10">
        <v>103.177941405651</v>
      </c>
      <c r="N219" s="10">
        <v>15.992903703029899</v>
      </c>
    </row>
    <row r="220" spans="1:14" hidden="1" x14ac:dyDescent="0.3">
      <c r="A220" s="5">
        <v>46</v>
      </c>
      <c r="B220" s="5" t="str">
        <f>_xlfn.XLOOKUP(D220,'[1]Viirs77-Sol'!$C$2:$C$694,'[1]Viirs77-Sol'!$A$2:$A$694)</f>
        <v>TH-44</v>
      </c>
      <c r="C220" s="5" t="str">
        <f>_xlfn.XLOOKUP(D220,cleanprovinces!$B:$B,cleanprovinces!$A:$A)</f>
        <v>NE</v>
      </c>
      <c r="D220" s="5" t="s">
        <v>42</v>
      </c>
      <c r="E220" s="6">
        <v>2016</v>
      </c>
      <c r="F220" s="7" cm="1">
        <f t="array" ref="F220">_xlfn.XLOOKUP(D220&amp;E220,'[1]Viirs77-Sol'!$C$2:$C$694&amp;'[1]Viirs77-Sol'!$D$2:$D$694,'[1]Viirs77-Sol'!$E$2:$E$694)</f>
        <v>12239.137839999999</v>
      </c>
      <c r="G220" s="7" cm="1">
        <f t="array" ref="G220">_xlfn.XLOOKUP(B220&amp;E220,'[2]Viirs77-Mean'!$A$2:$A$694&amp;'[2]Viirs77-Mean'!$D$2:$D$694,'[2]Viirs77-Mean'!$E$2:$E$694)</f>
        <v>0.43860732400000002</v>
      </c>
      <c r="H220" s="9" cm="1">
        <f t="array" ref="H220">_xlfn.XLOOKUP(D220,cleanprovinces!$B$2:$B$78,_xlfn.XLOOKUP(panel!E220,cleanprovinces!$C$1:$AC$1,cleanprovinces!$C$2:$AC$78,"no",0,1))</f>
        <v>32111</v>
      </c>
      <c r="I220" s="4">
        <f t="shared" si="10"/>
        <v>32111000000</v>
      </c>
      <c r="J220" s="3" cm="1">
        <f t="array" ref="J220">_xlfn.XLOOKUP(D220,[3]Sheet1!$B$2:$B$78,_xlfn.XLOOKUP(E220,[3]Sheet1!$C$1:$AC$1,[3]Sheet1!$C$2:$AC$78))</f>
        <v>802</v>
      </c>
      <c r="K220" s="3">
        <f t="shared" si="9"/>
        <v>802000</v>
      </c>
      <c r="L220" s="3">
        <f t="shared" si="11"/>
        <v>40038.653366583538</v>
      </c>
      <c r="M220" s="10">
        <v>103.177941405651</v>
      </c>
      <c r="N220" s="10">
        <v>15.992903703029899</v>
      </c>
    </row>
    <row r="221" spans="1:14" hidden="1" x14ac:dyDescent="0.3">
      <c r="A221" s="5">
        <v>46</v>
      </c>
      <c r="B221" s="5" t="str">
        <f>_xlfn.XLOOKUP(D221,'[1]Viirs77-Sol'!$C$2:$C$694,'[1]Viirs77-Sol'!$A$2:$A$694)</f>
        <v>TH-44</v>
      </c>
      <c r="C221" s="5" t="str">
        <f>_xlfn.XLOOKUP(D221,cleanprovinces!$B:$B,cleanprovinces!$A:$A)</f>
        <v>NE</v>
      </c>
      <c r="D221" s="5" t="s">
        <v>42</v>
      </c>
      <c r="E221" s="6">
        <v>2017</v>
      </c>
      <c r="F221" s="7" cm="1">
        <f t="array" ref="F221">_xlfn.XLOOKUP(D221&amp;E221,'[1]Viirs77-Sol'!$C$2:$C$694&amp;'[1]Viirs77-Sol'!$D$2:$D$694,'[1]Viirs77-Sol'!$E$2:$E$694)</f>
        <v>16481.119719999999</v>
      </c>
      <c r="G221" s="7" cm="1">
        <f t="array" ref="G221">_xlfn.XLOOKUP(B221&amp;E221,'[2]Viirs77-Mean'!$A$2:$A$694&amp;'[2]Viirs77-Mean'!$D$2:$D$694,'[2]Viirs77-Mean'!$E$2:$E$694)</f>
        <v>0.59062492</v>
      </c>
      <c r="H221" s="9" cm="1">
        <f t="array" ref="H221">_xlfn.XLOOKUP(D221,cleanprovinces!$B$2:$B$78,_xlfn.XLOOKUP(panel!E221,cleanprovinces!$C$1:$AC$1,cleanprovinces!$C$2:$AC$78,"no",0,1))</f>
        <v>33512</v>
      </c>
      <c r="I221" s="4">
        <f t="shared" si="10"/>
        <v>33512000000</v>
      </c>
      <c r="J221" s="3" cm="1">
        <f t="array" ref="J221">_xlfn.XLOOKUP(D221,[3]Sheet1!$B$2:$B$78,_xlfn.XLOOKUP(E221,[3]Sheet1!$C$1:$AC$1,[3]Sheet1!$C$2:$AC$78))</f>
        <v>797</v>
      </c>
      <c r="K221" s="3">
        <f t="shared" si="9"/>
        <v>797000</v>
      </c>
      <c r="L221" s="3">
        <f t="shared" si="11"/>
        <v>42047.678795483058</v>
      </c>
      <c r="M221" s="10">
        <v>103.177941405651</v>
      </c>
      <c r="N221" s="10">
        <v>15.992903703029899</v>
      </c>
    </row>
    <row r="222" spans="1:14" hidden="1" x14ac:dyDescent="0.3">
      <c r="A222" s="5">
        <v>46</v>
      </c>
      <c r="B222" s="5" t="str">
        <f>_xlfn.XLOOKUP(D222,'[1]Viirs77-Sol'!$C$2:$C$694,'[1]Viirs77-Sol'!$A$2:$A$694)</f>
        <v>TH-44</v>
      </c>
      <c r="C222" s="5" t="str">
        <f>_xlfn.XLOOKUP(D222,cleanprovinces!$B:$B,cleanprovinces!$A:$A)</f>
        <v>NE</v>
      </c>
      <c r="D222" s="5" t="s">
        <v>42</v>
      </c>
      <c r="E222" s="6">
        <v>2018</v>
      </c>
      <c r="F222" s="7" cm="1">
        <f t="array" ref="F222">_xlfn.XLOOKUP(D222&amp;E222,'[1]Viirs77-Sol'!$C$2:$C$694&amp;'[1]Viirs77-Sol'!$D$2:$D$694,'[1]Viirs77-Sol'!$E$2:$E$694)</f>
        <v>18137.091270000001</v>
      </c>
      <c r="G222" s="7" cm="1">
        <f t="array" ref="G222">_xlfn.XLOOKUP(B222&amp;E222,'[2]Viirs77-Mean'!$A$2:$A$694&amp;'[2]Viirs77-Mean'!$D$2:$D$694,'[2]Viirs77-Mean'!$E$2:$E$694)</f>
        <v>0.64996907199999998</v>
      </c>
      <c r="H222" s="9" cm="1">
        <f t="array" ref="H222">_xlfn.XLOOKUP(D222,cleanprovinces!$B$2:$B$78,_xlfn.XLOOKUP(panel!E222,cleanprovinces!$C$1:$AC$1,cleanprovinces!$C$2:$AC$78,"no",0,1))</f>
        <v>34391</v>
      </c>
      <c r="I222" s="4">
        <f t="shared" si="10"/>
        <v>34391000000</v>
      </c>
      <c r="J222" s="3" cm="1">
        <f t="array" ref="J222">_xlfn.XLOOKUP(D222,[3]Sheet1!$B$2:$B$78,_xlfn.XLOOKUP(E222,[3]Sheet1!$C$1:$AC$1,[3]Sheet1!$C$2:$AC$78))</f>
        <v>792</v>
      </c>
      <c r="K222" s="3">
        <f t="shared" si="9"/>
        <v>792000</v>
      </c>
      <c r="L222" s="3">
        <f t="shared" si="11"/>
        <v>43422.979797979795</v>
      </c>
      <c r="M222" s="10">
        <v>103.177941405651</v>
      </c>
      <c r="N222" s="10">
        <v>15.992903703029899</v>
      </c>
    </row>
    <row r="223" spans="1:14" hidden="1" x14ac:dyDescent="0.3">
      <c r="A223" s="5">
        <v>46</v>
      </c>
      <c r="B223" s="5" t="str">
        <f>_xlfn.XLOOKUP(D223,'[1]Viirs77-Sol'!$C$2:$C$694,'[1]Viirs77-Sol'!$A$2:$A$694)</f>
        <v>TH-44</v>
      </c>
      <c r="C223" s="5" t="str">
        <f>_xlfn.XLOOKUP(D223,cleanprovinces!$B:$B,cleanprovinces!$A:$A)</f>
        <v>NE</v>
      </c>
      <c r="D223" s="5" t="s">
        <v>42</v>
      </c>
      <c r="E223" s="6">
        <v>2019</v>
      </c>
      <c r="F223" s="7" cm="1">
        <f t="array" ref="F223">_xlfn.XLOOKUP(D223&amp;E223,'[1]Viirs77-Sol'!$C$2:$C$694&amp;'[1]Viirs77-Sol'!$D$2:$D$694,'[1]Viirs77-Sol'!$E$2:$E$694)</f>
        <v>19436.067289999999</v>
      </c>
      <c r="G223" s="7" cm="1">
        <f t="array" ref="G223">_xlfn.XLOOKUP(B223&amp;E223,'[2]Viirs77-Mean'!$A$2:$A$694&amp;'[2]Viirs77-Mean'!$D$2:$D$694,'[2]Viirs77-Mean'!$E$2:$E$694)</f>
        <v>0.69651976800000004</v>
      </c>
      <c r="H223" s="9" cm="1">
        <f t="array" ref="H223">_xlfn.XLOOKUP(D223,cleanprovinces!$B$2:$B$78,_xlfn.XLOOKUP(panel!E223,cleanprovinces!$C$1:$AC$1,cleanprovinces!$C$2:$AC$78,"no",0,1))</f>
        <v>33797</v>
      </c>
      <c r="I223" s="4">
        <f t="shared" si="10"/>
        <v>33797000000</v>
      </c>
      <c r="J223" s="3" cm="1">
        <f t="array" ref="J223">_xlfn.XLOOKUP(D223,[3]Sheet1!$B$2:$B$78,_xlfn.XLOOKUP(E223,[3]Sheet1!$C$1:$AC$1,[3]Sheet1!$C$2:$AC$78))</f>
        <v>786</v>
      </c>
      <c r="K223" s="3">
        <f t="shared" si="9"/>
        <v>786000</v>
      </c>
      <c r="L223" s="3">
        <f t="shared" si="11"/>
        <v>42998.727735368957</v>
      </c>
      <c r="M223" s="10">
        <v>103.177941405651</v>
      </c>
      <c r="N223" s="10">
        <v>15.992903703029899</v>
      </c>
    </row>
    <row r="224" spans="1:14" hidden="1" x14ac:dyDescent="0.3">
      <c r="A224" s="5">
        <v>46</v>
      </c>
      <c r="B224" s="5" t="str">
        <f>_xlfn.XLOOKUP(D224,'[1]Viirs77-Sol'!$C$2:$C$694,'[1]Viirs77-Sol'!$A$2:$A$694)</f>
        <v>TH-44</v>
      </c>
      <c r="C224" s="5" t="str">
        <f>_xlfn.XLOOKUP(D224,cleanprovinces!$B:$B,cleanprovinces!$A:$A)</f>
        <v>NE</v>
      </c>
      <c r="D224" s="5" t="s">
        <v>42</v>
      </c>
      <c r="E224" s="6">
        <v>2020</v>
      </c>
      <c r="F224" s="7" cm="1">
        <f t="array" ref="F224">_xlfn.XLOOKUP(D224&amp;E224,'[1]Viirs77-Sol'!$C$2:$C$694&amp;'[1]Viirs77-Sol'!$D$2:$D$694,'[1]Viirs77-Sol'!$E$2:$E$694)</f>
        <v>20994.722580000001</v>
      </c>
      <c r="G224" s="7" cm="1">
        <f t="array" ref="G224">_xlfn.XLOOKUP(B224&amp;E224,'[2]Viirs77-Mean'!$A$2:$A$694&amp;'[2]Viirs77-Mean'!$D$2:$D$694,'[2]Viirs77-Mean'!$E$2:$E$694)</f>
        <v>0.75237644999999997</v>
      </c>
      <c r="H224" s="9" cm="1">
        <f t="array" ref="H224">_xlfn.XLOOKUP(D224,cleanprovinces!$B$2:$B$78,_xlfn.XLOOKUP(panel!E224,cleanprovinces!$C$1:$AC$1,cleanprovinces!$C$2:$AC$78,"no",0,1))</f>
        <v>35199</v>
      </c>
      <c r="I224" s="4">
        <f t="shared" si="10"/>
        <v>35199000000</v>
      </c>
      <c r="J224" s="3" cm="1">
        <f t="array" ref="J224">_xlfn.XLOOKUP(D224,[3]Sheet1!$B$2:$B$78,_xlfn.XLOOKUP(E224,[3]Sheet1!$C$1:$AC$1,[3]Sheet1!$C$2:$AC$78))</f>
        <v>780</v>
      </c>
      <c r="K224" s="3">
        <f t="shared" si="9"/>
        <v>780000</v>
      </c>
      <c r="L224" s="3">
        <f t="shared" si="11"/>
        <v>45126.923076923078</v>
      </c>
      <c r="M224" s="10">
        <v>103.177941405651</v>
      </c>
      <c r="N224" s="10">
        <v>15.992903703029899</v>
      </c>
    </row>
    <row r="225" spans="1:14" hidden="1" x14ac:dyDescent="0.3">
      <c r="A225" s="5">
        <v>46</v>
      </c>
      <c r="B225" s="5" t="str">
        <f>_xlfn.XLOOKUP(D225,'[1]Viirs77-Sol'!$C$2:$C$694,'[1]Viirs77-Sol'!$A$2:$A$694)</f>
        <v>TH-44</v>
      </c>
      <c r="C225" s="5" t="str">
        <f>_xlfn.XLOOKUP(D225,cleanprovinces!$B:$B,cleanprovinces!$A:$A)</f>
        <v>NE</v>
      </c>
      <c r="D225" s="5" t="s">
        <v>42</v>
      </c>
      <c r="E225" s="6">
        <v>2021</v>
      </c>
      <c r="F225" s="7" cm="1">
        <f t="array" ref="F225">_xlfn.XLOOKUP(D225&amp;E225,'[1]Viirs77-Sol'!$C$2:$C$694&amp;'[1]Viirs77-Sol'!$D$2:$D$694,'[1]Viirs77-Sol'!$E$2:$E$694)</f>
        <v>23395.357349999998</v>
      </c>
      <c r="G225" s="7" cm="1">
        <f t="array" ref="G225">_xlfn.XLOOKUP(B225&amp;E225,'[2]Viirs77-Mean'!$A$2:$A$694&amp;'[2]Viirs77-Mean'!$D$2:$D$694,'[2]Viirs77-Mean'!$E$2:$E$694)</f>
        <v>0.83840669199999995</v>
      </c>
      <c r="H225" s="9" cm="1">
        <f t="array" ref="H225">_xlfn.XLOOKUP(D225,cleanprovinces!$B$2:$B$78,_xlfn.XLOOKUP(panel!E225,cleanprovinces!$C$1:$AC$1,cleanprovinces!$C$2:$AC$78,"no",0,1))</f>
        <v>36935</v>
      </c>
      <c r="I225" s="4">
        <f t="shared" si="10"/>
        <v>36935000000</v>
      </c>
      <c r="J225" s="3" cm="1">
        <f t="array" ref="J225">_xlfn.XLOOKUP(D225,[3]Sheet1!$B$2:$B$78,_xlfn.XLOOKUP(E225,[3]Sheet1!$C$1:$AC$1,[3]Sheet1!$C$2:$AC$78))</f>
        <v>775</v>
      </c>
      <c r="K225" s="3">
        <f t="shared" si="9"/>
        <v>775000</v>
      </c>
      <c r="L225" s="3">
        <f t="shared" si="11"/>
        <v>47658.06451612903</v>
      </c>
      <c r="M225" s="10">
        <v>103.177941405651</v>
      </c>
      <c r="N225" s="10">
        <v>15.992903703029899</v>
      </c>
    </row>
    <row r="226" spans="1:14" hidden="1" x14ac:dyDescent="0.3">
      <c r="A226" s="5">
        <v>61</v>
      </c>
      <c r="B226" s="5" t="str">
        <f>_xlfn.XLOOKUP(D226,'[1]Viirs77-Sol'!$C$2:$C$694,'[1]Viirs77-Sol'!$A$2:$A$694)</f>
        <v>TH-49</v>
      </c>
      <c r="C226" s="5" t="str">
        <f>_xlfn.XLOOKUP(D226,cleanprovinces!$B:$B,cleanprovinces!$A:$A)</f>
        <v>NE</v>
      </c>
      <c r="D226" s="5" t="s">
        <v>31</v>
      </c>
      <c r="E226" s="6">
        <v>2014</v>
      </c>
      <c r="F226" s="7" cm="1">
        <f t="array" ref="F226">_xlfn.XLOOKUP(D226&amp;E226,'[1]Viirs77-Sol'!$C$2:$C$694&amp;'[1]Viirs77-Sol'!$D$2:$D$694,'[1]Viirs77-Sol'!$E$2:$E$694)</f>
        <v>3481.9052320000001</v>
      </c>
      <c r="G226" s="7" cm="1">
        <f t="array" ref="G226">_xlfn.XLOOKUP(B226&amp;E226,'[2]Viirs77-Mean'!$A$2:$A$694&amp;'[2]Viirs77-Mean'!$D$2:$D$694,'[2]Viirs77-Mean'!$E$2:$E$694)</f>
        <v>0.17497131899999999</v>
      </c>
      <c r="H226" s="9" cm="1">
        <f t="array" ref="H226">_xlfn.XLOOKUP(D226,cleanprovinces!$B$2:$B$78,_xlfn.XLOOKUP(panel!E226,cleanprovinces!$C$1:$AC$1,cleanprovinces!$C$2:$AC$78,"no",0,1))</f>
        <v>14134</v>
      </c>
      <c r="I226" s="4">
        <f t="shared" si="10"/>
        <v>14134000000</v>
      </c>
      <c r="J226" s="3" cm="1">
        <f t="array" ref="J226">_xlfn.XLOOKUP(D226,[3]Sheet1!$B$2:$B$78,_xlfn.XLOOKUP(E226,[3]Sheet1!$C$1:$AC$1,[3]Sheet1!$C$2:$AC$78))</f>
        <v>379</v>
      </c>
      <c r="K226" s="3">
        <f t="shared" si="9"/>
        <v>379000</v>
      </c>
      <c r="L226" s="3">
        <f t="shared" si="11"/>
        <v>37292.875989445907</v>
      </c>
      <c r="M226" s="10">
        <v>104.516978928474</v>
      </c>
      <c r="N226" s="10">
        <v>16.563680406621199</v>
      </c>
    </row>
    <row r="227" spans="1:14" hidden="1" x14ac:dyDescent="0.3">
      <c r="A227" s="5">
        <v>61</v>
      </c>
      <c r="B227" s="5" t="str">
        <f>_xlfn.XLOOKUP(D227,'[1]Viirs77-Sol'!$C$2:$C$694,'[1]Viirs77-Sol'!$A$2:$A$694)</f>
        <v>TH-49</v>
      </c>
      <c r="C227" s="5" t="str">
        <f>_xlfn.XLOOKUP(D227,cleanprovinces!$B:$B,cleanprovinces!$A:$A)</f>
        <v>NE</v>
      </c>
      <c r="D227" s="5" t="s">
        <v>31</v>
      </c>
      <c r="E227" s="6">
        <v>2015</v>
      </c>
      <c r="F227" s="7" cm="1">
        <f t="array" ref="F227">_xlfn.XLOOKUP(D227&amp;E227,'[1]Viirs77-Sol'!$C$2:$C$694&amp;'[1]Viirs77-Sol'!$D$2:$D$694,'[1]Viirs77-Sol'!$E$2:$E$694)</f>
        <v>3969.9789519999999</v>
      </c>
      <c r="G227" s="7" cm="1">
        <f t="array" ref="G227">_xlfn.XLOOKUP(B227&amp;E227,'[2]Viirs77-Mean'!$A$2:$A$694&amp;'[2]Viirs77-Mean'!$D$2:$D$694,'[2]Viirs77-Mean'!$E$2:$E$694)</f>
        <v>0.199497806</v>
      </c>
      <c r="H227" s="9" cm="1">
        <f t="array" ref="H227">_xlfn.XLOOKUP(D227,cleanprovinces!$B$2:$B$78,_xlfn.XLOOKUP(panel!E227,cleanprovinces!$C$1:$AC$1,cleanprovinces!$C$2:$AC$78,"no",0,1))</f>
        <v>14615</v>
      </c>
      <c r="I227" s="4">
        <f t="shared" si="10"/>
        <v>14615000000</v>
      </c>
      <c r="J227" s="3" cm="1">
        <f t="array" ref="J227">_xlfn.XLOOKUP(D227,[3]Sheet1!$B$2:$B$78,_xlfn.XLOOKUP(E227,[3]Sheet1!$C$1:$AC$1,[3]Sheet1!$C$2:$AC$78))</f>
        <v>385</v>
      </c>
      <c r="K227" s="3">
        <f t="shared" si="9"/>
        <v>385000</v>
      </c>
      <c r="L227" s="3">
        <f t="shared" si="11"/>
        <v>37961.038961038961</v>
      </c>
      <c r="M227" s="10">
        <v>104.516978928474</v>
      </c>
      <c r="N227" s="10">
        <v>16.563680406621199</v>
      </c>
    </row>
    <row r="228" spans="1:14" hidden="1" x14ac:dyDescent="0.3">
      <c r="A228" s="5">
        <v>61</v>
      </c>
      <c r="B228" s="5" t="str">
        <f>_xlfn.XLOOKUP(D228,'[1]Viirs77-Sol'!$C$2:$C$694,'[1]Viirs77-Sol'!$A$2:$A$694)</f>
        <v>TH-49</v>
      </c>
      <c r="C228" s="5" t="str">
        <f>_xlfn.XLOOKUP(D228,cleanprovinces!$B:$B,cleanprovinces!$A:$A)</f>
        <v>NE</v>
      </c>
      <c r="D228" s="5" t="s">
        <v>31</v>
      </c>
      <c r="E228" s="6">
        <v>2016</v>
      </c>
      <c r="F228" s="7" cm="1">
        <f t="array" ref="F228">_xlfn.XLOOKUP(D228&amp;E228,'[1]Viirs77-Sol'!$C$2:$C$694&amp;'[1]Viirs77-Sol'!$D$2:$D$694,'[1]Viirs77-Sol'!$E$2:$E$694)</f>
        <v>4017.111946</v>
      </c>
      <c r="G228" s="7" cm="1">
        <f t="array" ref="G228">_xlfn.XLOOKUP(B228&amp;E228,'[2]Viirs77-Mean'!$A$2:$A$694&amp;'[2]Viirs77-Mean'!$D$2:$D$694,'[2]Viirs77-Mean'!$E$2:$E$694)</f>
        <v>0.20186631399999999</v>
      </c>
      <c r="H228" s="9" cm="1">
        <f t="array" ref="H228">_xlfn.XLOOKUP(D228,cleanprovinces!$B$2:$B$78,_xlfn.XLOOKUP(panel!E228,cleanprovinces!$C$1:$AC$1,cleanprovinces!$C$2:$AC$78,"no",0,1))</f>
        <v>15044</v>
      </c>
      <c r="I228" s="4">
        <f t="shared" si="10"/>
        <v>15044000000</v>
      </c>
      <c r="J228" s="3" cm="1">
        <f t="array" ref="J228">_xlfn.XLOOKUP(D228,[3]Sheet1!$B$2:$B$78,_xlfn.XLOOKUP(E228,[3]Sheet1!$C$1:$AC$1,[3]Sheet1!$C$2:$AC$78))</f>
        <v>391</v>
      </c>
      <c r="K228" s="3">
        <f t="shared" si="9"/>
        <v>391000</v>
      </c>
      <c r="L228" s="3">
        <f t="shared" si="11"/>
        <v>38475.703324808186</v>
      </c>
      <c r="M228" s="10">
        <v>104.516978928474</v>
      </c>
      <c r="N228" s="10">
        <v>16.563680406621199</v>
      </c>
    </row>
    <row r="229" spans="1:14" hidden="1" x14ac:dyDescent="0.3">
      <c r="A229" s="5">
        <v>61</v>
      </c>
      <c r="B229" s="5" t="str">
        <f>_xlfn.XLOOKUP(D229,'[1]Viirs77-Sol'!$C$2:$C$694,'[1]Viirs77-Sol'!$A$2:$A$694)</f>
        <v>TH-49</v>
      </c>
      <c r="C229" s="5" t="str">
        <f>_xlfn.XLOOKUP(D229,cleanprovinces!$B:$B,cleanprovinces!$A:$A)</f>
        <v>NE</v>
      </c>
      <c r="D229" s="5" t="s">
        <v>31</v>
      </c>
      <c r="E229" s="6">
        <v>2017</v>
      </c>
      <c r="F229" s="7" cm="1">
        <f t="array" ref="F229">_xlfn.XLOOKUP(D229&amp;E229,'[1]Viirs77-Sol'!$C$2:$C$694&amp;'[1]Viirs77-Sol'!$D$2:$D$694,'[1]Viirs77-Sol'!$E$2:$E$694)</f>
        <v>5562.2389450000001</v>
      </c>
      <c r="G229" s="7" cm="1">
        <f t="array" ref="G229">_xlfn.XLOOKUP(B229&amp;E229,'[2]Viirs77-Mean'!$A$2:$A$694&amp;'[2]Viirs77-Mean'!$D$2:$D$694,'[2]Viirs77-Mean'!$E$2:$E$694)</f>
        <v>0.27951142299999998</v>
      </c>
      <c r="H229" s="9" cm="1">
        <f t="array" ref="H229">_xlfn.XLOOKUP(D229,cleanprovinces!$B$2:$B$78,_xlfn.XLOOKUP(panel!E229,cleanprovinces!$C$1:$AC$1,cleanprovinces!$C$2:$AC$78,"no",0,1))</f>
        <v>16236</v>
      </c>
      <c r="I229" s="4">
        <f t="shared" si="10"/>
        <v>16236000000</v>
      </c>
      <c r="J229" s="3" cm="1">
        <f t="array" ref="J229">_xlfn.XLOOKUP(D229,[3]Sheet1!$B$2:$B$78,_xlfn.XLOOKUP(E229,[3]Sheet1!$C$1:$AC$1,[3]Sheet1!$C$2:$AC$78))</f>
        <v>398</v>
      </c>
      <c r="K229" s="3">
        <f t="shared" si="9"/>
        <v>398000</v>
      </c>
      <c r="L229" s="3">
        <f t="shared" si="11"/>
        <v>40793.969849246234</v>
      </c>
      <c r="M229" s="10">
        <v>104.516978928474</v>
      </c>
      <c r="N229" s="10">
        <v>16.563680406621199</v>
      </c>
    </row>
    <row r="230" spans="1:14" hidden="1" x14ac:dyDescent="0.3">
      <c r="A230" s="5">
        <v>61</v>
      </c>
      <c r="B230" s="5" t="str">
        <f>_xlfn.XLOOKUP(D230,'[1]Viirs77-Sol'!$C$2:$C$694,'[1]Viirs77-Sol'!$A$2:$A$694)</f>
        <v>TH-49</v>
      </c>
      <c r="C230" s="5" t="str">
        <f>_xlfn.XLOOKUP(D230,cleanprovinces!$B:$B,cleanprovinces!$A:$A)</f>
        <v>NE</v>
      </c>
      <c r="D230" s="5" t="s">
        <v>31</v>
      </c>
      <c r="E230" s="6">
        <v>2018</v>
      </c>
      <c r="F230" s="7" cm="1">
        <f t="array" ref="F230">_xlfn.XLOOKUP(D230&amp;E230,'[1]Viirs77-Sol'!$C$2:$C$694&amp;'[1]Viirs77-Sol'!$D$2:$D$694,'[1]Viirs77-Sol'!$E$2:$E$694)</f>
        <v>6467.6507840000004</v>
      </c>
      <c r="G230" s="7" cm="1">
        <f t="array" ref="G230">_xlfn.XLOOKUP(B230&amp;E230,'[2]Viirs77-Mean'!$A$2:$A$694&amp;'[2]Viirs77-Mean'!$D$2:$D$694,'[2]Viirs77-Mean'!$E$2:$E$694)</f>
        <v>0.32500981899999998</v>
      </c>
      <c r="H230" s="9" cm="1">
        <f t="array" ref="H230">_xlfn.XLOOKUP(D230,cleanprovinces!$B$2:$B$78,_xlfn.XLOOKUP(panel!E230,cleanprovinces!$C$1:$AC$1,cleanprovinces!$C$2:$AC$78,"no",0,1))</f>
        <v>16530</v>
      </c>
      <c r="I230" s="4">
        <f t="shared" si="10"/>
        <v>16530000000</v>
      </c>
      <c r="J230" s="3" cm="1">
        <f t="array" ref="J230">_xlfn.XLOOKUP(D230,[3]Sheet1!$B$2:$B$78,_xlfn.XLOOKUP(E230,[3]Sheet1!$C$1:$AC$1,[3]Sheet1!$C$2:$AC$78))</f>
        <v>404</v>
      </c>
      <c r="K230" s="3">
        <f t="shared" si="9"/>
        <v>404000</v>
      </c>
      <c r="L230" s="3">
        <f t="shared" si="11"/>
        <v>40915.841584158414</v>
      </c>
      <c r="M230" s="10">
        <v>104.516978928474</v>
      </c>
      <c r="N230" s="10">
        <v>16.563680406621199</v>
      </c>
    </row>
    <row r="231" spans="1:14" hidden="1" x14ac:dyDescent="0.3">
      <c r="A231" s="5">
        <v>61</v>
      </c>
      <c r="B231" s="5" t="str">
        <f>_xlfn.XLOOKUP(D231,'[1]Viirs77-Sol'!$C$2:$C$694,'[1]Viirs77-Sol'!$A$2:$A$694)</f>
        <v>TH-49</v>
      </c>
      <c r="C231" s="5" t="str">
        <f>_xlfn.XLOOKUP(D231,cleanprovinces!$B:$B,cleanprovinces!$A:$A)</f>
        <v>NE</v>
      </c>
      <c r="D231" s="5" t="s">
        <v>31</v>
      </c>
      <c r="E231" s="6">
        <v>2019</v>
      </c>
      <c r="F231" s="7" cm="1">
        <f t="array" ref="F231">_xlfn.XLOOKUP(D231&amp;E231,'[1]Viirs77-Sol'!$C$2:$C$694&amp;'[1]Viirs77-Sol'!$D$2:$D$694,'[1]Viirs77-Sol'!$E$2:$E$694)</f>
        <v>6806.3488589999997</v>
      </c>
      <c r="G231" s="7" cm="1">
        <f t="array" ref="G231">_xlfn.XLOOKUP(B231&amp;E231,'[2]Viirs77-Mean'!$A$2:$A$694&amp;'[2]Viirs77-Mean'!$D$2:$D$694,'[2]Viirs77-Mean'!$E$2:$E$694)</f>
        <v>0.34202993999999998</v>
      </c>
      <c r="H231" s="9" cm="1">
        <f t="array" ref="H231">_xlfn.XLOOKUP(D231,cleanprovinces!$B$2:$B$78,_xlfn.XLOOKUP(panel!E231,cleanprovinces!$C$1:$AC$1,cleanprovinces!$C$2:$AC$78,"no",0,1))</f>
        <v>17319</v>
      </c>
      <c r="I231" s="4">
        <f t="shared" si="10"/>
        <v>17319000000</v>
      </c>
      <c r="J231" s="3" cm="1">
        <f t="array" ref="J231">_xlfn.XLOOKUP(D231,[3]Sheet1!$B$2:$B$78,_xlfn.XLOOKUP(E231,[3]Sheet1!$C$1:$AC$1,[3]Sheet1!$C$2:$AC$78))</f>
        <v>410</v>
      </c>
      <c r="K231" s="3">
        <f t="shared" si="9"/>
        <v>410000</v>
      </c>
      <c r="L231" s="3">
        <f t="shared" si="11"/>
        <v>42241.463414634149</v>
      </c>
      <c r="M231" s="10">
        <v>104.516978928474</v>
      </c>
      <c r="N231" s="10">
        <v>16.563680406621199</v>
      </c>
    </row>
    <row r="232" spans="1:14" hidden="1" x14ac:dyDescent="0.3">
      <c r="A232" s="5">
        <v>61</v>
      </c>
      <c r="B232" s="5" t="str">
        <f>_xlfn.XLOOKUP(D232,'[1]Viirs77-Sol'!$C$2:$C$694,'[1]Viirs77-Sol'!$A$2:$A$694)</f>
        <v>TH-49</v>
      </c>
      <c r="C232" s="5" t="str">
        <f>_xlfn.XLOOKUP(D232,cleanprovinces!$B:$B,cleanprovinces!$A:$A)</f>
        <v>NE</v>
      </c>
      <c r="D232" s="5" t="s">
        <v>31</v>
      </c>
      <c r="E232" s="6">
        <v>2020</v>
      </c>
      <c r="F232" s="7" cm="1">
        <f t="array" ref="F232">_xlfn.XLOOKUP(D232&amp;E232,'[1]Viirs77-Sol'!$C$2:$C$694&amp;'[1]Viirs77-Sol'!$D$2:$D$694,'[1]Viirs77-Sol'!$E$2:$E$694)</f>
        <v>8281.1060350000007</v>
      </c>
      <c r="G232" s="7" cm="1">
        <f t="array" ref="G232">_xlfn.XLOOKUP(B232&amp;E232,'[2]Viirs77-Mean'!$A$2:$A$694&amp;'[2]Viirs77-Mean'!$D$2:$D$694,'[2]Viirs77-Mean'!$E$2:$E$694)</f>
        <v>0.416138852</v>
      </c>
      <c r="H232" s="9" cm="1">
        <f t="array" ref="H232">_xlfn.XLOOKUP(D232,cleanprovinces!$B$2:$B$78,_xlfn.XLOOKUP(panel!E232,cleanprovinces!$C$1:$AC$1,cleanprovinces!$C$2:$AC$78,"no",0,1))</f>
        <v>16223</v>
      </c>
      <c r="I232" s="4">
        <f t="shared" si="10"/>
        <v>16223000000</v>
      </c>
      <c r="J232" s="3" cm="1">
        <f t="array" ref="J232">_xlfn.XLOOKUP(D232,[3]Sheet1!$B$2:$B$78,_xlfn.XLOOKUP(E232,[3]Sheet1!$C$1:$AC$1,[3]Sheet1!$C$2:$AC$78))</f>
        <v>416</v>
      </c>
      <c r="K232" s="3">
        <f t="shared" si="9"/>
        <v>416000</v>
      </c>
      <c r="L232" s="3">
        <f t="shared" si="11"/>
        <v>38997.596153846156</v>
      </c>
      <c r="M232" s="10">
        <v>104.516978928474</v>
      </c>
      <c r="N232" s="10">
        <v>16.563680406621199</v>
      </c>
    </row>
    <row r="233" spans="1:14" hidden="1" x14ac:dyDescent="0.3">
      <c r="A233" s="5">
        <v>61</v>
      </c>
      <c r="B233" s="5" t="str">
        <f>_xlfn.XLOOKUP(D233,'[1]Viirs77-Sol'!$C$2:$C$694,'[1]Viirs77-Sol'!$A$2:$A$694)</f>
        <v>TH-49</v>
      </c>
      <c r="C233" s="5" t="str">
        <f>_xlfn.XLOOKUP(D233,cleanprovinces!$B:$B,cleanprovinces!$A:$A)</f>
        <v>NE</v>
      </c>
      <c r="D233" s="5" t="s">
        <v>31</v>
      </c>
      <c r="E233" s="6">
        <v>2021</v>
      </c>
      <c r="F233" s="7" cm="1">
        <f t="array" ref="F233">_xlfn.XLOOKUP(D233&amp;E233,'[1]Viirs77-Sol'!$C$2:$C$694&amp;'[1]Viirs77-Sol'!$D$2:$D$694,'[1]Viirs77-Sol'!$E$2:$E$694)</f>
        <v>9288.0884870000009</v>
      </c>
      <c r="G233" s="7" cm="1">
        <f t="array" ref="G233">_xlfn.XLOOKUP(B233&amp;E233,'[2]Viirs77-Mean'!$A$2:$A$694&amp;'[2]Viirs77-Mean'!$D$2:$D$694,'[2]Viirs77-Mean'!$E$2:$E$694)</f>
        <v>0.46674133400000001</v>
      </c>
      <c r="H233" s="9" cm="1">
        <f t="array" ref="H233">_xlfn.XLOOKUP(D233,cleanprovinces!$B$2:$B$78,_xlfn.XLOOKUP(panel!E233,cleanprovinces!$C$1:$AC$1,cleanprovinces!$C$2:$AC$78,"no",0,1))</f>
        <v>17534</v>
      </c>
      <c r="I233" s="4">
        <f t="shared" si="10"/>
        <v>17534000000</v>
      </c>
      <c r="J233" s="3" cm="1">
        <f t="array" ref="J233">_xlfn.XLOOKUP(D233,[3]Sheet1!$B$2:$B$78,_xlfn.XLOOKUP(E233,[3]Sheet1!$C$1:$AC$1,[3]Sheet1!$C$2:$AC$78))</f>
        <v>422</v>
      </c>
      <c r="K233" s="3">
        <f t="shared" si="9"/>
        <v>422000</v>
      </c>
      <c r="L233" s="3">
        <f t="shared" si="11"/>
        <v>41549.763033175353</v>
      </c>
      <c r="M233" s="10">
        <v>104.516978928474</v>
      </c>
      <c r="N233" s="10">
        <v>16.563680406621199</v>
      </c>
    </row>
    <row r="234" spans="1:14" hidden="1" x14ac:dyDescent="0.3">
      <c r="A234" s="5">
        <v>72</v>
      </c>
      <c r="B234" s="5" t="str">
        <f>_xlfn.XLOOKUP(D234,'[1]Viirs77-Sol'!$C$2:$C$694,'[1]Viirs77-Sol'!$A$2:$A$694)</f>
        <v>TH-48</v>
      </c>
      <c r="C234" s="5" t="str">
        <f>_xlfn.XLOOKUP(D234,cleanprovinces!$B:$B,cleanprovinces!$A:$A)</f>
        <v>NE</v>
      </c>
      <c r="D234" s="5" t="s">
        <v>32</v>
      </c>
      <c r="E234" s="6">
        <v>2014</v>
      </c>
      <c r="F234" s="7" cm="1">
        <f t="array" ref="F234">_xlfn.XLOOKUP(D234&amp;E234,'[1]Viirs77-Sol'!$C$2:$C$694&amp;'[1]Viirs77-Sol'!$D$2:$D$694,'[1]Viirs77-Sol'!$E$2:$E$694)</f>
        <v>7749.8488829999997</v>
      </c>
      <c r="G234" s="7" cm="1">
        <f t="array" ref="G234">_xlfn.XLOOKUP(B234&amp;E234,'[2]Viirs77-Mean'!$A$2:$A$694&amp;'[2]Viirs77-Mean'!$D$2:$D$694,'[2]Viirs77-Mean'!$E$2:$E$694)</f>
        <v>0.28407515999999999</v>
      </c>
      <c r="H234" s="9" cm="1">
        <f t="array" ref="H234">_xlfn.XLOOKUP(D234,cleanprovinces!$B$2:$B$78,_xlfn.XLOOKUP(panel!E234,cleanprovinces!$C$1:$AC$1,cleanprovinces!$C$2:$AC$78,"no",0,1))</f>
        <v>22149</v>
      </c>
      <c r="I234" s="4">
        <f t="shared" si="10"/>
        <v>22149000000</v>
      </c>
      <c r="J234" s="3" cm="1">
        <f t="array" ref="J234">_xlfn.XLOOKUP(D234,[3]Sheet1!$B$2:$B$78,_xlfn.XLOOKUP(E234,[3]Sheet1!$C$1:$AC$1,[3]Sheet1!$C$2:$AC$78))</f>
        <v>575</v>
      </c>
      <c r="K234" s="3">
        <f t="shared" si="9"/>
        <v>575000</v>
      </c>
      <c r="L234" s="3">
        <f t="shared" si="11"/>
        <v>38520</v>
      </c>
      <c r="M234" s="10">
        <v>104.428705514963</v>
      </c>
      <c r="N234" s="10">
        <v>17.385660787061301</v>
      </c>
    </row>
    <row r="235" spans="1:14" hidden="1" x14ac:dyDescent="0.3">
      <c r="A235" s="5">
        <v>72</v>
      </c>
      <c r="B235" s="5" t="str">
        <f>_xlfn.XLOOKUP(D235,'[1]Viirs77-Sol'!$C$2:$C$694,'[1]Viirs77-Sol'!$A$2:$A$694)</f>
        <v>TH-48</v>
      </c>
      <c r="C235" s="5" t="str">
        <f>_xlfn.XLOOKUP(D235,cleanprovinces!$B:$B,cleanprovinces!$A:$A)</f>
        <v>NE</v>
      </c>
      <c r="D235" s="5" t="s">
        <v>32</v>
      </c>
      <c r="E235" s="6">
        <v>2015</v>
      </c>
      <c r="F235" s="7" cm="1">
        <f t="array" ref="F235">_xlfn.XLOOKUP(D235&amp;E235,'[1]Viirs77-Sol'!$C$2:$C$694&amp;'[1]Viirs77-Sol'!$D$2:$D$694,'[1]Viirs77-Sol'!$E$2:$E$694)</f>
        <v>9131.8783050000002</v>
      </c>
      <c r="G235" s="7" cm="1">
        <f t="array" ref="G235">_xlfn.XLOOKUP(B235&amp;E235,'[2]Viirs77-Mean'!$A$2:$A$694&amp;'[2]Viirs77-Mean'!$D$2:$D$694,'[2]Viirs77-Mean'!$E$2:$E$694)</f>
        <v>0.33473424200000002</v>
      </c>
      <c r="H235" s="9" cm="1">
        <f t="array" ref="H235">_xlfn.XLOOKUP(D235,cleanprovinces!$B$2:$B$78,_xlfn.XLOOKUP(panel!E235,cleanprovinces!$C$1:$AC$1,cleanprovinces!$C$2:$AC$78,"no",0,1))</f>
        <v>22863</v>
      </c>
      <c r="I235" s="4">
        <f t="shared" si="10"/>
        <v>22863000000</v>
      </c>
      <c r="J235" s="3" cm="1">
        <f t="array" ref="J235">_xlfn.XLOOKUP(D235,[3]Sheet1!$B$2:$B$78,_xlfn.XLOOKUP(E235,[3]Sheet1!$C$1:$AC$1,[3]Sheet1!$C$2:$AC$78))</f>
        <v>573</v>
      </c>
      <c r="K235" s="3">
        <f t="shared" si="9"/>
        <v>573000</v>
      </c>
      <c r="L235" s="3">
        <f t="shared" si="11"/>
        <v>39900.523560209425</v>
      </c>
      <c r="M235" s="10">
        <v>104.428705514963</v>
      </c>
      <c r="N235" s="10">
        <v>17.385660787061301</v>
      </c>
    </row>
    <row r="236" spans="1:14" hidden="1" x14ac:dyDescent="0.3">
      <c r="A236" s="5">
        <v>72</v>
      </c>
      <c r="B236" s="5" t="str">
        <f>_xlfn.XLOOKUP(D236,'[1]Viirs77-Sol'!$C$2:$C$694,'[1]Viirs77-Sol'!$A$2:$A$694)</f>
        <v>TH-48</v>
      </c>
      <c r="C236" s="5" t="str">
        <f>_xlfn.XLOOKUP(D236,cleanprovinces!$B:$B,cleanprovinces!$A:$A)</f>
        <v>NE</v>
      </c>
      <c r="D236" s="5" t="s">
        <v>32</v>
      </c>
      <c r="E236" s="6">
        <v>2016</v>
      </c>
      <c r="F236" s="7" cm="1">
        <f t="array" ref="F236">_xlfn.XLOOKUP(D236&amp;E236,'[1]Viirs77-Sol'!$C$2:$C$694&amp;'[1]Viirs77-Sol'!$D$2:$D$694,'[1]Viirs77-Sol'!$E$2:$E$694)</f>
        <v>8750.8324030000003</v>
      </c>
      <c r="G236" s="7" cm="1">
        <f t="array" ref="G236">_xlfn.XLOOKUP(B236&amp;E236,'[2]Viirs77-Mean'!$A$2:$A$694&amp;'[2]Viirs77-Mean'!$D$2:$D$694,'[2]Viirs77-Mean'!$E$2:$E$694)</f>
        <v>0.32076678600000003</v>
      </c>
      <c r="H236" s="9" cm="1">
        <f t="array" ref="H236">_xlfn.XLOOKUP(D236,cleanprovinces!$B$2:$B$78,_xlfn.XLOOKUP(panel!E236,cleanprovinces!$C$1:$AC$1,cleanprovinces!$C$2:$AC$78,"no",0,1))</f>
        <v>24192</v>
      </c>
      <c r="I236" s="4">
        <f t="shared" si="10"/>
        <v>24192000000</v>
      </c>
      <c r="J236" s="3" cm="1">
        <f t="array" ref="J236">_xlfn.XLOOKUP(D236,[3]Sheet1!$B$2:$B$78,_xlfn.XLOOKUP(E236,[3]Sheet1!$C$1:$AC$1,[3]Sheet1!$C$2:$AC$78))</f>
        <v>568</v>
      </c>
      <c r="K236" s="3">
        <f t="shared" si="9"/>
        <v>568000</v>
      </c>
      <c r="L236" s="3">
        <f t="shared" si="11"/>
        <v>42591.549295774646</v>
      </c>
      <c r="M236" s="10">
        <v>104.428705514963</v>
      </c>
      <c r="N236" s="10">
        <v>17.385660787061301</v>
      </c>
    </row>
    <row r="237" spans="1:14" hidden="1" x14ac:dyDescent="0.3">
      <c r="A237" s="5">
        <v>72</v>
      </c>
      <c r="B237" s="5" t="str">
        <f>_xlfn.XLOOKUP(D237,'[1]Viirs77-Sol'!$C$2:$C$694,'[1]Viirs77-Sol'!$A$2:$A$694)</f>
        <v>TH-48</v>
      </c>
      <c r="C237" s="5" t="str">
        <f>_xlfn.XLOOKUP(D237,cleanprovinces!$B:$B,cleanprovinces!$A:$A)</f>
        <v>NE</v>
      </c>
      <c r="D237" s="5" t="s">
        <v>32</v>
      </c>
      <c r="E237" s="6">
        <v>2017</v>
      </c>
      <c r="F237" s="7" cm="1">
        <f t="array" ref="F237">_xlfn.XLOOKUP(D237&amp;E237,'[1]Viirs77-Sol'!$C$2:$C$694&amp;'[1]Viirs77-Sol'!$D$2:$D$694,'[1]Viirs77-Sol'!$E$2:$E$694)</f>
        <v>12325.67246</v>
      </c>
      <c r="G237" s="7" cm="1">
        <f t="array" ref="G237">_xlfn.XLOOKUP(B237&amp;E237,'[2]Viirs77-Mean'!$A$2:$A$694&amp;'[2]Viirs77-Mean'!$D$2:$D$694,'[2]Viirs77-Mean'!$E$2:$E$694)</f>
        <v>0.45180460099999997</v>
      </c>
      <c r="H237" s="9" cm="1">
        <f t="array" ref="H237">_xlfn.XLOOKUP(D237,cleanprovinces!$B$2:$B$78,_xlfn.XLOOKUP(panel!E237,cleanprovinces!$C$1:$AC$1,cleanprovinces!$C$2:$AC$78,"no",0,1))</f>
        <v>24355</v>
      </c>
      <c r="I237" s="4">
        <f t="shared" si="10"/>
        <v>24355000000</v>
      </c>
      <c r="J237" s="3" cm="1">
        <f t="array" ref="J237">_xlfn.XLOOKUP(D237,[3]Sheet1!$B$2:$B$78,_xlfn.XLOOKUP(E237,[3]Sheet1!$C$1:$AC$1,[3]Sheet1!$C$2:$AC$78))</f>
        <v>565</v>
      </c>
      <c r="K237" s="3">
        <f t="shared" si="9"/>
        <v>565000</v>
      </c>
      <c r="L237" s="3">
        <f t="shared" si="11"/>
        <v>43106.194690265489</v>
      </c>
      <c r="M237" s="10">
        <v>104.428705514963</v>
      </c>
      <c r="N237" s="10">
        <v>17.385660787061301</v>
      </c>
    </row>
    <row r="238" spans="1:14" hidden="1" x14ac:dyDescent="0.3">
      <c r="A238" s="5">
        <v>72</v>
      </c>
      <c r="B238" s="5" t="str">
        <f>_xlfn.XLOOKUP(D238,'[1]Viirs77-Sol'!$C$2:$C$694,'[1]Viirs77-Sol'!$A$2:$A$694)</f>
        <v>TH-48</v>
      </c>
      <c r="C238" s="5" t="str">
        <f>_xlfn.XLOOKUP(D238,cleanprovinces!$B:$B,cleanprovinces!$A:$A)</f>
        <v>NE</v>
      </c>
      <c r="D238" s="5" t="s">
        <v>32</v>
      </c>
      <c r="E238" s="6">
        <v>2018</v>
      </c>
      <c r="F238" s="7" cm="1">
        <f t="array" ref="F238">_xlfn.XLOOKUP(D238&amp;E238,'[1]Viirs77-Sol'!$C$2:$C$694&amp;'[1]Viirs77-Sol'!$D$2:$D$694,'[1]Viirs77-Sol'!$E$2:$E$694)</f>
        <v>12600.455840000001</v>
      </c>
      <c r="G238" s="7" cm="1">
        <f t="array" ref="G238">_xlfn.XLOOKUP(B238&amp;E238,'[2]Viirs77-Mean'!$A$2:$A$694&amp;'[2]Viirs77-Mean'!$D$2:$D$694,'[2]Viirs77-Mean'!$E$2:$E$694)</f>
        <v>0.46187694400000001</v>
      </c>
      <c r="H238" s="9" cm="1">
        <f t="array" ref="H238">_xlfn.XLOOKUP(D238,cleanprovinces!$B$2:$B$78,_xlfn.XLOOKUP(panel!E238,cleanprovinces!$C$1:$AC$1,cleanprovinces!$C$2:$AC$78,"no",0,1))</f>
        <v>23762</v>
      </c>
      <c r="I238" s="4">
        <f t="shared" si="10"/>
        <v>23762000000</v>
      </c>
      <c r="J238" s="3" cm="1">
        <f t="array" ref="J238">_xlfn.XLOOKUP(D238,[3]Sheet1!$B$2:$B$78,_xlfn.XLOOKUP(E238,[3]Sheet1!$C$1:$AC$1,[3]Sheet1!$C$2:$AC$78))</f>
        <v>561</v>
      </c>
      <c r="K238" s="3">
        <f t="shared" si="9"/>
        <v>561000</v>
      </c>
      <c r="L238" s="3">
        <f t="shared" si="11"/>
        <v>42356.506238859183</v>
      </c>
      <c r="M238" s="10">
        <v>104.428705514963</v>
      </c>
      <c r="N238" s="10">
        <v>17.385660787061301</v>
      </c>
    </row>
    <row r="239" spans="1:14" hidden="1" x14ac:dyDescent="0.3">
      <c r="A239" s="5">
        <v>72</v>
      </c>
      <c r="B239" s="5" t="str">
        <f>_xlfn.XLOOKUP(D239,'[1]Viirs77-Sol'!$C$2:$C$694,'[1]Viirs77-Sol'!$A$2:$A$694)</f>
        <v>TH-48</v>
      </c>
      <c r="C239" s="5" t="str">
        <f>_xlfn.XLOOKUP(D239,cleanprovinces!$B:$B,cleanprovinces!$A:$A)</f>
        <v>NE</v>
      </c>
      <c r="D239" s="5" t="s">
        <v>32</v>
      </c>
      <c r="E239" s="6">
        <v>2019</v>
      </c>
      <c r="F239" s="7" cm="1">
        <f t="array" ref="F239">_xlfn.XLOOKUP(D239&amp;E239,'[1]Viirs77-Sol'!$C$2:$C$694&amp;'[1]Viirs77-Sol'!$D$2:$D$694,'[1]Viirs77-Sol'!$E$2:$E$694)</f>
        <v>11705.41979</v>
      </c>
      <c r="G239" s="7" cm="1">
        <f t="array" ref="G239">_xlfn.XLOOKUP(B239&amp;E239,'[2]Viirs77-Mean'!$A$2:$A$694&amp;'[2]Viirs77-Mean'!$D$2:$D$694,'[2]Viirs77-Mean'!$E$2:$E$694)</f>
        <v>0.42906888300000001</v>
      </c>
      <c r="H239" s="9" cm="1">
        <f t="array" ref="H239">_xlfn.XLOOKUP(D239,cleanprovinces!$B$2:$B$78,_xlfn.XLOOKUP(panel!E239,cleanprovinces!$C$1:$AC$1,cleanprovinces!$C$2:$AC$78,"no",0,1))</f>
        <v>24269</v>
      </c>
      <c r="I239" s="4">
        <f t="shared" si="10"/>
        <v>24269000000</v>
      </c>
      <c r="J239" s="3" cm="1">
        <f t="array" ref="J239">_xlfn.XLOOKUP(D239,[3]Sheet1!$B$2:$B$78,_xlfn.XLOOKUP(E239,[3]Sheet1!$C$1:$AC$1,[3]Sheet1!$C$2:$AC$78))</f>
        <v>557</v>
      </c>
      <c r="K239" s="3">
        <f t="shared" si="9"/>
        <v>557000</v>
      </c>
      <c r="L239" s="3">
        <f t="shared" si="11"/>
        <v>43570.915619389591</v>
      </c>
      <c r="M239" s="10">
        <v>104.428705514963</v>
      </c>
      <c r="N239" s="10">
        <v>17.385660787061301</v>
      </c>
    </row>
    <row r="240" spans="1:14" hidden="1" x14ac:dyDescent="0.3">
      <c r="A240" s="5">
        <v>72</v>
      </c>
      <c r="B240" s="5" t="str">
        <f>_xlfn.XLOOKUP(D240,'[1]Viirs77-Sol'!$C$2:$C$694,'[1]Viirs77-Sol'!$A$2:$A$694)</f>
        <v>TH-48</v>
      </c>
      <c r="C240" s="5" t="str">
        <f>_xlfn.XLOOKUP(D240,cleanprovinces!$B:$B,cleanprovinces!$A:$A)</f>
        <v>NE</v>
      </c>
      <c r="D240" s="5" t="s">
        <v>32</v>
      </c>
      <c r="E240" s="6">
        <v>2020</v>
      </c>
      <c r="F240" s="7" cm="1">
        <f t="array" ref="F240">_xlfn.XLOOKUP(D240&amp;E240,'[1]Viirs77-Sol'!$C$2:$C$694&amp;'[1]Viirs77-Sol'!$D$2:$D$694,'[1]Viirs77-Sol'!$E$2:$E$694)</f>
        <v>14735.61692</v>
      </c>
      <c r="G240" s="7" cm="1">
        <f t="array" ref="G240">_xlfn.XLOOKUP(B240&amp;E240,'[2]Viirs77-Mean'!$A$2:$A$694&amp;'[2]Viirs77-Mean'!$D$2:$D$694,'[2]Viirs77-Mean'!$E$2:$E$694)</f>
        <v>0.540142499</v>
      </c>
      <c r="H240" s="9" cm="1">
        <f t="array" ref="H240">_xlfn.XLOOKUP(D240,cleanprovinces!$B$2:$B$78,_xlfn.XLOOKUP(panel!E240,cleanprovinces!$C$1:$AC$1,cleanprovinces!$C$2:$AC$78,"no",0,1))</f>
        <v>25052</v>
      </c>
      <c r="I240" s="4">
        <f t="shared" si="10"/>
        <v>25052000000</v>
      </c>
      <c r="J240" s="3" cm="1">
        <f t="array" ref="J240">_xlfn.XLOOKUP(D240,[3]Sheet1!$B$2:$B$78,_xlfn.XLOOKUP(E240,[3]Sheet1!$C$1:$AC$1,[3]Sheet1!$C$2:$AC$78))</f>
        <v>552</v>
      </c>
      <c r="K240" s="3">
        <f t="shared" si="9"/>
        <v>552000</v>
      </c>
      <c r="L240" s="3">
        <f t="shared" si="11"/>
        <v>45384.057971014496</v>
      </c>
      <c r="M240" s="10">
        <v>104.428705514963</v>
      </c>
      <c r="N240" s="10">
        <v>17.385660787061301</v>
      </c>
    </row>
    <row r="241" spans="1:14" hidden="1" x14ac:dyDescent="0.3">
      <c r="A241" s="5">
        <v>72</v>
      </c>
      <c r="B241" s="5" t="str">
        <f>_xlfn.XLOOKUP(D241,'[1]Viirs77-Sol'!$C$2:$C$694,'[1]Viirs77-Sol'!$A$2:$A$694)</f>
        <v>TH-48</v>
      </c>
      <c r="C241" s="5" t="str">
        <f>_xlfn.XLOOKUP(D241,cleanprovinces!$B:$B,cleanprovinces!$A:$A)</f>
        <v>NE</v>
      </c>
      <c r="D241" s="5" t="s">
        <v>32</v>
      </c>
      <c r="E241" s="6">
        <v>2021</v>
      </c>
      <c r="F241" s="7" cm="1">
        <f t="array" ref="F241">_xlfn.XLOOKUP(D241&amp;E241,'[1]Viirs77-Sol'!$C$2:$C$694&amp;'[1]Viirs77-Sol'!$D$2:$D$694,'[1]Viirs77-Sol'!$E$2:$E$694)</f>
        <v>18902.991709999998</v>
      </c>
      <c r="G241" s="7" cm="1">
        <f t="array" ref="G241">_xlfn.XLOOKUP(B241&amp;E241,'[2]Viirs77-Mean'!$A$2:$A$694&amp;'[2]Viirs77-Mean'!$D$2:$D$694,'[2]Viirs77-Mean'!$E$2:$E$694)</f>
        <v>0.69290001499999998</v>
      </c>
      <c r="H241" s="9" cm="1">
        <f t="array" ref="H241">_xlfn.XLOOKUP(D241,cleanprovinces!$B$2:$B$78,_xlfn.XLOOKUP(panel!E241,cleanprovinces!$C$1:$AC$1,cleanprovinces!$C$2:$AC$78,"no",0,1))</f>
        <v>26042</v>
      </c>
      <c r="I241" s="4">
        <f t="shared" si="10"/>
        <v>26042000000</v>
      </c>
      <c r="J241" s="3" cm="1">
        <f t="array" ref="J241">_xlfn.XLOOKUP(D241,[3]Sheet1!$B$2:$B$78,_xlfn.XLOOKUP(E241,[3]Sheet1!$C$1:$AC$1,[3]Sheet1!$C$2:$AC$78))</f>
        <v>548</v>
      </c>
      <c r="K241" s="3">
        <f t="shared" si="9"/>
        <v>548000</v>
      </c>
      <c r="L241" s="3">
        <f t="shared" si="11"/>
        <v>47521.897810218979</v>
      </c>
      <c r="M241" s="10">
        <v>104.428705514963</v>
      </c>
      <c r="N241" s="10">
        <v>17.385660787061301</v>
      </c>
    </row>
    <row r="242" spans="1:14" hidden="1" x14ac:dyDescent="0.3">
      <c r="A242" s="5">
        <v>6</v>
      </c>
      <c r="B242" s="5" t="str">
        <f>_xlfn.XLOOKUP(D242,'[1]Viirs77-Sol'!$C$2:$C$694,'[1]Viirs77-Sol'!$A$2:$A$694)</f>
        <v>TH-30</v>
      </c>
      <c r="C242" s="5" t="str">
        <f>_xlfn.XLOOKUP(D242,cleanprovinces!$B:$B,cleanprovinces!$A:$A)</f>
        <v>NE</v>
      </c>
      <c r="D242" s="5" t="s">
        <v>35</v>
      </c>
      <c r="E242" s="6">
        <v>2014</v>
      </c>
      <c r="F242" s="7" cm="1">
        <f t="array" ref="F242">_xlfn.XLOOKUP(D242&amp;E242,'[1]Viirs77-Sol'!$C$2:$C$694&amp;'[1]Viirs77-Sol'!$D$2:$D$694,'[1]Viirs77-Sol'!$E$2:$E$694)</f>
        <v>41439.66921</v>
      </c>
      <c r="G242" s="7" cm="1">
        <f t="array" ref="G242">_xlfn.XLOOKUP(B242&amp;E242,'[2]Viirs77-Mean'!$A$2:$A$694&amp;'[2]Viirs77-Mean'!$D$2:$D$694,'[2]Viirs77-Mean'!$E$2:$E$694)</f>
        <v>0.41301397000000001</v>
      </c>
      <c r="H242" s="9" cm="1">
        <f t="array" ref="H242">_xlfn.XLOOKUP(D242,cleanprovinces!$B$2:$B$78,_xlfn.XLOOKUP(panel!E242,cleanprovinces!$C$1:$AC$1,cleanprovinces!$C$2:$AC$78,"no",0,1))</f>
        <v>160847</v>
      </c>
      <c r="I242" s="4">
        <f t="shared" si="10"/>
        <v>160847000000</v>
      </c>
      <c r="J242" s="3" cm="1">
        <f t="array" ref="J242">_xlfn.XLOOKUP(D242,[3]Sheet1!$B$2:$B$78,_xlfn.XLOOKUP(E242,[3]Sheet1!$C$1:$AC$1,[3]Sheet1!$C$2:$AC$78))</f>
        <v>2520</v>
      </c>
      <c r="K242" s="3">
        <f t="shared" si="9"/>
        <v>2520000</v>
      </c>
      <c r="L242" s="3">
        <f t="shared" si="11"/>
        <v>63828.174603174601</v>
      </c>
      <c r="M242" s="10">
        <v>102.116594845671</v>
      </c>
      <c r="N242" s="10">
        <v>14.9573223229037</v>
      </c>
    </row>
    <row r="243" spans="1:14" hidden="1" x14ac:dyDescent="0.3">
      <c r="A243" s="5">
        <v>6</v>
      </c>
      <c r="B243" s="5" t="str">
        <f>_xlfn.XLOOKUP(D243,'[1]Viirs77-Sol'!$C$2:$C$694,'[1]Viirs77-Sol'!$A$2:$A$694)</f>
        <v>TH-30</v>
      </c>
      <c r="C243" s="5" t="str">
        <f>_xlfn.XLOOKUP(D243,cleanprovinces!$B:$B,cleanprovinces!$A:$A)</f>
        <v>NE</v>
      </c>
      <c r="D243" s="5" t="s">
        <v>35</v>
      </c>
      <c r="E243" s="6">
        <v>2015</v>
      </c>
      <c r="F243" s="7" cm="1">
        <f t="array" ref="F243">_xlfn.XLOOKUP(D243&amp;E243,'[1]Viirs77-Sol'!$C$2:$C$694&amp;'[1]Viirs77-Sol'!$D$2:$D$694,'[1]Viirs77-Sol'!$E$2:$E$694)</f>
        <v>46645.341780000002</v>
      </c>
      <c r="G243" s="7" cm="1">
        <f t="array" ref="G243">_xlfn.XLOOKUP(B243&amp;E243,'[2]Viirs77-Mean'!$A$2:$A$694&amp;'[2]Viirs77-Mean'!$D$2:$D$694,'[2]Viirs77-Mean'!$E$2:$E$694)</f>
        <v>0.46489699699999998</v>
      </c>
      <c r="H243" s="9" cm="1">
        <f t="array" ref="H243">_xlfn.XLOOKUP(D243,cleanprovinces!$B$2:$B$78,_xlfn.XLOOKUP(panel!E243,cleanprovinces!$C$1:$AC$1,cleanprovinces!$C$2:$AC$78,"no",0,1))</f>
        <v>163289</v>
      </c>
      <c r="I243" s="4">
        <f t="shared" si="10"/>
        <v>163289000000</v>
      </c>
      <c r="J243" s="3" cm="1">
        <f t="array" ref="J243">_xlfn.XLOOKUP(D243,[3]Sheet1!$B$2:$B$78,_xlfn.XLOOKUP(E243,[3]Sheet1!$C$1:$AC$1,[3]Sheet1!$C$2:$AC$78))</f>
        <v>2518</v>
      </c>
      <c r="K243" s="3">
        <f t="shared" si="9"/>
        <v>2518000</v>
      </c>
      <c r="L243" s="3">
        <f t="shared" si="11"/>
        <v>64848.689436060362</v>
      </c>
      <c r="M243" s="10">
        <v>102.116594845671</v>
      </c>
      <c r="N243" s="10">
        <v>14.9573223229037</v>
      </c>
    </row>
    <row r="244" spans="1:14" hidden="1" x14ac:dyDescent="0.3">
      <c r="A244" s="5">
        <v>6</v>
      </c>
      <c r="B244" s="5" t="str">
        <f>_xlfn.XLOOKUP(D244,'[1]Viirs77-Sol'!$C$2:$C$694,'[1]Viirs77-Sol'!$A$2:$A$694)</f>
        <v>TH-30</v>
      </c>
      <c r="C244" s="5" t="str">
        <f>_xlfn.XLOOKUP(D244,cleanprovinces!$B:$B,cleanprovinces!$A:$A)</f>
        <v>NE</v>
      </c>
      <c r="D244" s="5" t="s">
        <v>35</v>
      </c>
      <c r="E244" s="6">
        <v>2016</v>
      </c>
      <c r="F244" s="7" cm="1">
        <f t="array" ref="F244">_xlfn.XLOOKUP(D244&amp;E244,'[1]Viirs77-Sol'!$C$2:$C$694&amp;'[1]Viirs77-Sol'!$D$2:$D$694,'[1]Viirs77-Sol'!$E$2:$E$694)</f>
        <v>49556.726569999999</v>
      </c>
      <c r="G244" s="7" cm="1">
        <f t="array" ref="G244">_xlfn.XLOOKUP(B244&amp;E244,'[2]Viirs77-Mean'!$A$2:$A$694&amp;'[2]Viirs77-Mean'!$D$2:$D$694,'[2]Viirs77-Mean'!$E$2:$E$694)</f>
        <v>0.49391370099999998</v>
      </c>
      <c r="H244" s="9" cm="1">
        <f t="array" ref="H244">_xlfn.XLOOKUP(D244,cleanprovinces!$B$2:$B$78,_xlfn.XLOOKUP(panel!E244,cleanprovinces!$C$1:$AC$1,cleanprovinces!$C$2:$AC$78,"no",0,1))</f>
        <v>168843</v>
      </c>
      <c r="I244" s="4">
        <f t="shared" si="10"/>
        <v>168843000000</v>
      </c>
      <c r="J244" s="3" cm="1">
        <f t="array" ref="J244">_xlfn.XLOOKUP(D244,[3]Sheet1!$B$2:$B$78,_xlfn.XLOOKUP(E244,[3]Sheet1!$C$1:$AC$1,[3]Sheet1!$C$2:$AC$78))</f>
        <v>2517</v>
      </c>
      <c r="K244" s="3">
        <f t="shared" si="9"/>
        <v>2517000</v>
      </c>
      <c r="L244" s="3">
        <f t="shared" si="11"/>
        <v>67081.048867699647</v>
      </c>
      <c r="M244" s="10">
        <v>102.116594845671</v>
      </c>
      <c r="N244" s="10">
        <v>14.9573223229037</v>
      </c>
    </row>
    <row r="245" spans="1:14" hidden="1" x14ac:dyDescent="0.3">
      <c r="A245" s="5">
        <v>6</v>
      </c>
      <c r="B245" s="5" t="str">
        <f>_xlfn.XLOOKUP(D245,'[1]Viirs77-Sol'!$C$2:$C$694,'[1]Viirs77-Sol'!$A$2:$A$694)</f>
        <v>TH-30</v>
      </c>
      <c r="C245" s="5" t="str">
        <f>_xlfn.XLOOKUP(D245,cleanprovinces!$B:$B,cleanprovinces!$A:$A)</f>
        <v>NE</v>
      </c>
      <c r="D245" s="5" t="s">
        <v>35</v>
      </c>
      <c r="E245" s="6">
        <v>2017</v>
      </c>
      <c r="F245" s="7" cm="1">
        <f t="array" ref="F245">_xlfn.XLOOKUP(D245&amp;E245,'[1]Viirs77-Sol'!$C$2:$C$694&amp;'[1]Viirs77-Sol'!$D$2:$D$694,'[1]Viirs77-Sol'!$E$2:$E$694)</f>
        <v>60448.024949999999</v>
      </c>
      <c r="G245" s="7" cm="1">
        <f t="array" ref="G245">_xlfn.XLOOKUP(B245&amp;E245,'[2]Viirs77-Mean'!$A$2:$A$694&amp;'[2]Viirs77-Mean'!$D$2:$D$694,'[2]Viirs77-Mean'!$E$2:$E$694)</f>
        <v>0.60246327300000002</v>
      </c>
      <c r="H245" s="9" cm="1">
        <f t="array" ref="H245">_xlfn.XLOOKUP(D245,cleanprovinces!$B$2:$B$78,_xlfn.XLOOKUP(panel!E245,cleanprovinces!$C$1:$AC$1,cleanprovinces!$C$2:$AC$78,"no",0,1))</f>
        <v>177028</v>
      </c>
      <c r="I245" s="4">
        <f t="shared" si="10"/>
        <v>177028000000</v>
      </c>
      <c r="J245" s="3" cm="1">
        <f t="array" ref="J245">_xlfn.XLOOKUP(D245,[3]Sheet1!$B$2:$B$78,_xlfn.XLOOKUP(E245,[3]Sheet1!$C$1:$AC$1,[3]Sheet1!$C$2:$AC$78))</f>
        <v>2516</v>
      </c>
      <c r="K245" s="3">
        <f t="shared" si="9"/>
        <v>2516000</v>
      </c>
      <c r="L245" s="3">
        <f t="shared" si="11"/>
        <v>70360.890302066779</v>
      </c>
      <c r="M245" s="10">
        <v>102.116594845671</v>
      </c>
      <c r="N245" s="10">
        <v>14.9573223229037</v>
      </c>
    </row>
    <row r="246" spans="1:14" hidden="1" x14ac:dyDescent="0.3">
      <c r="A246" s="5">
        <v>6</v>
      </c>
      <c r="B246" s="5" t="str">
        <f>_xlfn.XLOOKUP(D246,'[1]Viirs77-Sol'!$C$2:$C$694,'[1]Viirs77-Sol'!$A$2:$A$694)</f>
        <v>TH-30</v>
      </c>
      <c r="C246" s="5" t="str">
        <f>_xlfn.XLOOKUP(D246,cleanprovinces!$B:$B,cleanprovinces!$A:$A)</f>
        <v>NE</v>
      </c>
      <c r="D246" s="5" t="s">
        <v>35</v>
      </c>
      <c r="E246" s="6">
        <v>2018</v>
      </c>
      <c r="F246" s="7" cm="1">
        <f t="array" ref="F246">_xlfn.XLOOKUP(D246&amp;E246,'[1]Viirs77-Sol'!$C$2:$C$694&amp;'[1]Viirs77-Sol'!$D$2:$D$694,'[1]Viirs77-Sol'!$E$2:$E$694)</f>
        <v>63311.34244</v>
      </c>
      <c r="G246" s="7" cm="1">
        <f t="array" ref="G246">_xlfn.XLOOKUP(B246&amp;E246,'[2]Viirs77-Mean'!$A$2:$A$694&amp;'[2]Viirs77-Mean'!$D$2:$D$694,'[2]Viirs77-Mean'!$E$2:$E$694)</f>
        <v>0.63100090799999997</v>
      </c>
      <c r="H246" s="9" cm="1">
        <f t="array" ref="H246">_xlfn.XLOOKUP(D246,cleanprovinces!$B$2:$B$78,_xlfn.XLOOKUP(panel!E246,cleanprovinces!$C$1:$AC$1,cleanprovinces!$C$2:$AC$78,"no",0,1))</f>
        <v>187488</v>
      </c>
      <c r="I246" s="4">
        <f t="shared" si="10"/>
        <v>187488000000</v>
      </c>
      <c r="J246" s="3" cm="1">
        <f t="array" ref="J246">_xlfn.XLOOKUP(D246,[3]Sheet1!$B$2:$B$78,_xlfn.XLOOKUP(E246,[3]Sheet1!$C$1:$AC$1,[3]Sheet1!$C$2:$AC$78))</f>
        <v>2515</v>
      </c>
      <c r="K246" s="3">
        <f t="shared" si="9"/>
        <v>2515000</v>
      </c>
      <c r="L246" s="3">
        <f t="shared" si="11"/>
        <v>74547.912524850894</v>
      </c>
      <c r="M246" s="10">
        <v>102.116594845671</v>
      </c>
      <c r="N246" s="10">
        <v>14.9573223229037</v>
      </c>
    </row>
    <row r="247" spans="1:14" hidden="1" x14ac:dyDescent="0.3">
      <c r="A247" s="5">
        <v>6</v>
      </c>
      <c r="B247" s="5" t="str">
        <f>_xlfn.XLOOKUP(D247,'[1]Viirs77-Sol'!$C$2:$C$694,'[1]Viirs77-Sol'!$A$2:$A$694)</f>
        <v>TH-30</v>
      </c>
      <c r="C247" s="5" t="str">
        <f>_xlfn.XLOOKUP(D247,cleanprovinces!$B:$B,cleanprovinces!$A:$A)</f>
        <v>NE</v>
      </c>
      <c r="D247" s="5" t="s">
        <v>35</v>
      </c>
      <c r="E247" s="6">
        <v>2019</v>
      </c>
      <c r="F247" s="7" cm="1">
        <f t="array" ref="F247">_xlfn.XLOOKUP(D247&amp;E247,'[1]Viirs77-Sol'!$C$2:$C$694&amp;'[1]Viirs77-Sol'!$D$2:$D$694,'[1]Viirs77-Sol'!$E$2:$E$694)</f>
        <v>68205.225789999997</v>
      </c>
      <c r="G247" s="7" cm="1">
        <f t="array" ref="G247">_xlfn.XLOOKUP(B247&amp;E247,'[2]Viirs77-Mean'!$A$2:$A$694&amp;'[2]Viirs77-Mean'!$D$2:$D$694,'[2]Viirs77-Mean'!$E$2:$E$694)</f>
        <v>0.67977644599999998</v>
      </c>
      <c r="H247" s="9" cm="1">
        <f t="array" ref="H247">_xlfn.XLOOKUP(D247,cleanprovinces!$B$2:$B$78,_xlfn.XLOOKUP(panel!E247,cleanprovinces!$C$1:$AC$1,cleanprovinces!$C$2:$AC$78,"no",0,1))</f>
        <v>185904</v>
      </c>
      <c r="I247" s="4">
        <f t="shared" si="10"/>
        <v>185904000000</v>
      </c>
      <c r="J247" s="3" cm="1">
        <f t="array" ref="J247">_xlfn.XLOOKUP(D247,[3]Sheet1!$B$2:$B$78,_xlfn.XLOOKUP(E247,[3]Sheet1!$C$1:$AC$1,[3]Sheet1!$C$2:$AC$78))</f>
        <v>2511</v>
      </c>
      <c r="K247" s="3">
        <f t="shared" si="9"/>
        <v>2511000</v>
      </c>
      <c r="L247" s="3">
        <f t="shared" si="11"/>
        <v>74035.842293906811</v>
      </c>
      <c r="M247" s="10">
        <v>102.116594845671</v>
      </c>
      <c r="N247" s="10">
        <v>14.9573223229037</v>
      </c>
    </row>
    <row r="248" spans="1:14" hidden="1" x14ac:dyDescent="0.3">
      <c r="A248" s="5">
        <v>6</v>
      </c>
      <c r="B248" s="5" t="str">
        <f>_xlfn.XLOOKUP(D248,'[1]Viirs77-Sol'!$C$2:$C$694,'[1]Viirs77-Sol'!$A$2:$A$694)</f>
        <v>TH-30</v>
      </c>
      <c r="C248" s="5" t="str">
        <f>_xlfn.XLOOKUP(D248,cleanprovinces!$B:$B,cleanprovinces!$A:$A)</f>
        <v>NE</v>
      </c>
      <c r="D248" s="5" t="s">
        <v>35</v>
      </c>
      <c r="E248" s="6">
        <v>2020</v>
      </c>
      <c r="F248" s="7" cm="1">
        <f t="array" ref="F248">_xlfn.XLOOKUP(D248&amp;E248,'[1]Viirs77-Sol'!$C$2:$C$694&amp;'[1]Viirs77-Sol'!$D$2:$D$694,'[1]Viirs77-Sol'!$E$2:$E$694)</f>
        <v>74024.854330000002</v>
      </c>
      <c r="G248" s="7" cm="1">
        <f t="array" ref="G248">_xlfn.XLOOKUP(B248&amp;E248,'[2]Viirs77-Mean'!$A$2:$A$694&amp;'[2]Viirs77-Mean'!$D$2:$D$694,'[2]Viirs77-Mean'!$E$2:$E$694)</f>
        <v>0.73777854799999998</v>
      </c>
      <c r="H248" s="9" cm="1">
        <f t="array" ref="H248">_xlfn.XLOOKUP(D248,cleanprovinces!$B$2:$B$78,_xlfn.XLOOKUP(panel!E248,cleanprovinces!$C$1:$AC$1,cleanprovinces!$C$2:$AC$78,"no",0,1))</f>
        <v>183955</v>
      </c>
      <c r="I248" s="4">
        <f t="shared" si="10"/>
        <v>183955000000</v>
      </c>
      <c r="J248" s="3" cm="1">
        <f t="array" ref="J248">_xlfn.XLOOKUP(D248,[3]Sheet1!$B$2:$B$78,_xlfn.XLOOKUP(E248,[3]Sheet1!$C$1:$AC$1,[3]Sheet1!$C$2:$AC$78))</f>
        <v>2507</v>
      </c>
      <c r="K248" s="3">
        <f t="shared" si="9"/>
        <v>2507000</v>
      </c>
      <c r="L248" s="3">
        <f t="shared" si="11"/>
        <v>73376.545672118067</v>
      </c>
      <c r="M248" s="10">
        <v>102.116594845671</v>
      </c>
      <c r="N248" s="10">
        <v>14.9573223229037</v>
      </c>
    </row>
    <row r="249" spans="1:14" hidden="1" x14ac:dyDescent="0.3">
      <c r="A249" s="5">
        <v>6</v>
      </c>
      <c r="B249" s="5" t="str">
        <f>_xlfn.XLOOKUP(D249,'[1]Viirs77-Sol'!$C$2:$C$694,'[1]Viirs77-Sol'!$A$2:$A$694)</f>
        <v>TH-30</v>
      </c>
      <c r="C249" s="5" t="str">
        <f>_xlfn.XLOOKUP(D249,cleanprovinces!$B:$B,cleanprovinces!$A:$A)</f>
        <v>NE</v>
      </c>
      <c r="D249" s="5" t="s">
        <v>35</v>
      </c>
      <c r="E249" s="6">
        <v>2021</v>
      </c>
      <c r="F249" s="7" cm="1">
        <f t="array" ref="F249">_xlfn.XLOOKUP(D249&amp;E249,'[1]Viirs77-Sol'!$C$2:$C$694&amp;'[1]Viirs77-Sol'!$D$2:$D$694,'[1]Viirs77-Sol'!$E$2:$E$694)</f>
        <v>84525.464420000004</v>
      </c>
      <c r="G249" s="7" cm="1">
        <f t="array" ref="G249">_xlfn.XLOOKUP(B249&amp;E249,'[2]Viirs77-Mean'!$A$2:$A$694&amp;'[2]Viirs77-Mean'!$D$2:$D$694,'[2]Viirs77-Mean'!$E$2:$E$694)</f>
        <v>0.84243427299999996</v>
      </c>
      <c r="H249" s="9" cm="1">
        <f t="array" ref="H249">_xlfn.XLOOKUP(D249,cleanprovinces!$B$2:$B$78,_xlfn.XLOOKUP(panel!E249,cleanprovinces!$C$1:$AC$1,cleanprovinces!$C$2:$AC$78,"no",0,1))</f>
        <v>194006</v>
      </c>
      <c r="I249" s="4">
        <f t="shared" si="10"/>
        <v>194006000000</v>
      </c>
      <c r="J249" s="3" cm="1">
        <f t="array" ref="J249">_xlfn.XLOOKUP(D249,[3]Sheet1!$B$2:$B$78,_xlfn.XLOOKUP(E249,[3]Sheet1!$C$1:$AC$1,[3]Sheet1!$C$2:$AC$78))</f>
        <v>2502</v>
      </c>
      <c r="K249" s="3">
        <f t="shared" si="9"/>
        <v>2502000</v>
      </c>
      <c r="L249" s="3">
        <f t="shared" si="11"/>
        <v>77540.367705835335</v>
      </c>
      <c r="M249" s="10">
        <v>102.116594845671</v>
      </c>
      <c r="N249" s="10">
        <v>14.9573223229037</v>
      </c>
    </row>
    <row r="250" spans="1:14" hidden="1" x14ac:dyDescent="0.3">
      <c r="A250" s="5">
        <v>13</v>
      </c>
      <c r="B250" s="5" t="str">
        <f>_xlfn.XLOOKUP(D250,'[1]Viirs77-Sol'!$C$2:$C$694,'[1]Viirs77-Sol'!$A$2:$A$694)</f>
        <v>TH-43</v>
      </c>
      <c r="C250" s="5" t="str">
        <f>_xlfn.XLOOKUP(D250,cleanprovinces!$B:$B,cleanprovinces!$A:$A)</f>
        <v>NE</v>
      </c>
      <c r="D250" s="5" t="s">
        <v>30</v>
      </c>
      <c r="E250" s="6">
        <v>2014</v>
      </c>
      <c r="F250" s="7" cm="1">
        <f t="array" ref="F250">_xlfn.XLOOKUP(D250&amp;E250,'[1]Viirs77-Sol'!$C$2:$C$694&amp;'[1]Viirs77-Sol'!$D$2:$D$694,'[1]Viirs77-Sol'!$E$2:$E$694)</f>
        <v>5762.5261410000003</v>
      </c>
      <c r="G250" s="7" cm="1">
        <f t="array" ref="G250">_xlfn.XLOOKUP(B250&amp;E250,'[2]Viirs77-Mean'!$A$2:$A$694&amp;'[2]Viirs77-Mean'!$D$2:$D$694,'[2]Viirs77-Mean'!$E$2:$E$694)</f>
        <v>0.35407141399999997</v>
      </c>
      <c r="H250" s="9" cm="1">
        <f t="array" ref="H250">_xlfn.XLOOKUP(D250,cleanprovinces!$B$2:$B$78,_xlfn.XLOOKUP(panel!E250,cleanprovinces!$C$1:$AC$1,cleanprovinces!$C$2:$AC$78,"no",0,1))</f>
        <v>21535</v>
      </c>
      <c r="I250" s="4">
        <f t="shared" si="10"/>
        <v>21535000000</v>
      </c>
      <c r="J250" s="3" cm="1">
        <f t="array" ref="J250">_xlfn.XLOOKUP(D250,[3]Sheet1!$B$2:$B$78,_xlfn.XLOOKUP(E250,[3]Sheet1!$C$1:$AC$1,[3]Sheet1!$C$2:$AC$78))</f>
        <v>457</v>
      </c>
      <c r="K250" s="3">
        <f t="shared" si="9"/>
        <v>457000</v>
      </c>
      <c r="L250" s="3">
        <f t="shared" si="11"/>
        <v>47122.538293216632</v>
      </c>
      <c r="M250" s="10">
        <v>102.835809088649</v>
      </c>
      <c r="N250" s="10">
        <v>17.935303717489901</v>
      </c>
    </row>
    <row r="251" spans="1:14" hidden="1" x14ac:dyDescent="0.3">
      <c r="A251" s="5">
        <v>13</v>
      </c>
      <c r="B251" s="5" t="str">
        <f>_xlfn.XLOOKUP(D251,'[1]Viirs77-Sol'!$C$2:$C$694,'[1]Viirs77-Sol'!$A$2:$A$694)</f>
        <v>TH-43</v>
      </c>
      <c r="C251" s="5" t="str">
        <f>_xlfn.XLOOKUP(D251,cleanprovinces!$B:$B,cleanprovinces!$A:$A)</f>
        <v>NE</v>
      </c>
      <c r="D251" s="5" t="s">
        <v>30</v>
      </c>
      <c r="E251" s="6">
        <v>2015</v>
      </c>
      <c r="F251" s="7" cm="1">
        <f t="array" ref="F251">_xlfn.XLOOKUP(D251&amp;E251,'[1]Viirs77-Sol'!$C$2:$C$694&amp;'[1]Viirs77-Sol'!$D$2:$D$694,'[1]Viirs77-Sol'!$E$2:$E$694)</f>
        <v>7017.258562</v>
      </c>
      <c r="G251" s="7" cm="1">
        <f t="array" ref="G251">_xlfn.XLOOKUP(B251&amp;E251,'[2]Viirs77-Mean'!$A$2:$A$694&amp;'[2]Viirs77-Mean'!$D$2:$D$694,'[2]Viirs77-Mean'!$E$2:$E$694)</f>
        <v>0.43116692200000001</v>
      </c>
      <c r="H251" s="9" cm="1">
        <f t="array" ref="H251">_xlfn.XLOOKUP(D251,cleanprovinces!$B$2:$B$78,_xlfn.XLOOKUP(panel!E251,cleanprovinces!$C$1:$AC$1,cleanprovinces!$C$2:$AC$78,"no",0,1))</f>
        <v>22480</v>
      </c>
      <c r="I251" s="4">
        <f t="shared" si="10"/>
        <v>22480000000</v>
      </c>
      <c r="J251" s="3" cm="1">
        <f t="array" ref="J251">_xlfn.XLOOKUP(D251,[3]Sheet1!$B$2:$B$78,_xlfn.XLOOKUP(E251,[3]Sheet1!$C$1:$AC$1,[3]Sheet1!$C$2:$AC$78))</f>
        <v>457</v>
      </c>
      <c r="K251" s="3">
        <f t="shared" si="9"/>
        <v>457000</v>
      </c>
      <c r="L251" s="3">
        <f t="shared" si="11"/>
        <v>49190.371991247266</v>
      </c>
      <c r="M251" s="10">
        <v>102.835809088649</v>
      </c>
      <c r="N251" s="10">
        <v>17.935303717489901</v>
      </c>
    </row>
    <row r="252" spans="1:14" hidden="1" x14ac:dyDescent="0.3">
      <c r="A252" s="5">
        <v>13</v>
      </c>
      <c r="B252" s="5" t="str">
        <f>_xlfn.XLOOKUP(D252,'[1]Viirs77-Sol'!$C$2:$C$694,'[1]Viirs77-Sol'!$A$2:$A$694)</f>
        <v>TH-43</v>
      </c>
      <c r="C252" s="5" t="str">
        <f>_xlfn.XLOOKUP(D252,cleanprovinces!$B:$B,cleanprovinces!$A:$A)</f>
        <v>NE</v>
      </c>
      <c r="D252" s="8" t="s">
        <v>30</v>
      </c>
      <c r="E252" s="6">
        <v>2016</v>
      </c>
      <c r="F252" s="7" cm="1">
        <f t="array" ref="F252">_xlfn.XLOOKUP(D252&amp;E252,'[1]Viirs77-Sol'!$C$2:$C$694&amp;'[1]Viirs77-Sol'!$D$2:$D$694,'[1]Viirs77-Sol'!$E$2:$E$694)</f>
        <v>7715.8822209999998</v>
      </c>
      <c r="G252" s="7" cm="1">
        <f t="array" ref="G252">_xlfn.XLOOKUP(B252&amp;E252,'[2]Viirs77-Mean'!$A$2:$A$694&amp;'[2]Viirs77-Mean'!$D$2:$D$694,'[2]Viirs77-Mean'!$E$2:$E$694)</f>
        <v>0.47409300300000001</v>
      </c>
      <c r="H252" s="9" cm="1">
        <f t="array" ref="H252">_xlfn.XLOOKUP(D252,cleanprovinces!$B$2:$B$78,_xlfn.XLOOKUP(panel!E252,cleanprovinces!$C$1:$AC$1,cleanprovinces!$C$2:$AC$78,"no",0,1))</f>
        <v>23228</v>
      </c>
      <c r="I252" s="4">
        <f t="shared" si="10"/>
        <v>23228000000</v>
      </c>
      <c r="J252" s="3" cm="1">
        <f t="array" ref="J252">_xlfn.XLOOKUP(D252,[3]Sheet1!$B$2:$B$78,_xlfn.XLOOKUP(E252,[3]Sheet1!$C$1:$AC$1,[3]Sheet1!$C$2:$AC$78))</f>
        <v>457</v>
      </c>
      <c r="K252" s="3">
        <f t="shared" si="9"/>
        <v>457000</v>
      </c>
      <c r="L252" s="3">
        <f t="shared" si="11"/>
        <v>50827.133479212251</v>
      </c>
      <c r="M252" s="10">
        <v>102.835809088649</v>
      </c>
      <c r="N252" s="10">
        <v>17.935303717489901</v>
      </c>
    </row>
    <row r="253" spans="1:14" hidden="1" x14ac:dyDescent="0.3">
      <c r="A253" s="5">
        <v>13</v>
      </c>
      <c r="B253" s="5" t="str">
        <f>_xlfn.XLOOKUP(D253,'[1]Viirs77-Sol'!$C$2:$C$694,'[1]Viirs77-Sol'!$A$2:$A$694)</f>
        <v>TH-43</v>
      </c>
      <c r="C253" s="5" t="str">
        <f>_xlfn.XLOOKUP(D253,cleanprovinces!$B:$B,cleanprovinces!$A:$A)</f>
        <v>NE</v>
      </c>
      <c r="D253" s="5" t="s">
        <v>30</v>
      </c>
      <c r="E253" s="6">
        <v>2017</v>
      </c>
      <c r="F253" s="7" cm="1">
        <f t="array" ref="F253">_xlfn.XLOOKUP(D253&amp;E253,'[1]Viirs77-Sol'!$C$2:$C$694&amp;'[1]Viirs77-Sol'!$D$2:$D$694,'[1]Viirs77-Sol'!$E$2:$E$694)</f>
        <v>10693.76504</v>
      </c>
      <c r="G253" s="7" cm="1">
        <f t="array" ref="G253">_xlfn.XLOOKUP(B253&amp;E253,'[2]Viirs77-Mean'!$A$2:$A$694&amp;'[2]Viirs77-Mean'!$D$2:$D$694,'[2]Viirs77-Mean'!$E$2:$E$694)</f>
        <v>0.657065393</v>
      </c>
      <c r="H253" s="9" cm="1">
        <f t="array" ref="H253">_xlfn.XLOOKUP(D253,cleanprovinces!$B$2:$B$78,_xlfn.XLOOKUP(panel!E253,cleanprovinces!$C$1:$AC$1,cleanprovinces!$C$2:$AC$78,"no",0,1))</f>
        <v>23734</v>
      </c>
      <c r="I253" s="4">
        <f t="shared" si="10"/>
        <v>23734000000</v>
      </c>
      <c r="J253" s="3" cm="1">
        <f t="array" ref="J253">_xlfn.XLOOKUP(D253,[3]Sheet1!$B$2:$B$78,_xlfn.XLOOKUP(E253,[3]Sheet1!$C$1:$AC$1,[3]Sheet1!$C$2:$AC$78))</f>
        <v>457</v>
      </c>
      <c r="K253" s="3">
        <f t="shared" si="9"/>
        <v>457000</v>
      </c>
      <c r="L253" s="3">
        <f t="shared" si="11"/>
        <v>51934.354485776807</v>
      </c>
      <c r="M253" s="10">
        <v>102.835809088649</v>
      </c>
      <c r="N253" s="10">
        <v>17.935303717489901</v>
      </c>
    </row>
    <row r="254" spans="1:14" hidden="1" x14ac:dyDescent="0.3">
      <c r="A254" s="5">
        <v>13</v>
      </c>
      <c r="B254" s="5" t="str">
        <f>_xlfn.XLOOKUP(D254,'[1]Viirs77-Sol'!$C$2:$C$694,'[1]Viirs77-Sol'!$A$2:$A$694)</f>
        <v>TH-43</v>
      </c>
      <c r="C254" s="5" t="str">
        <f>_xlfn.XLOOKUP(D254,cleanprovinces!$B:$B,cleanprovinces!$A:$A)</f>
        <v>NE</v>
      </c>
      <c r="D254" s="5" t="s">
        <v>30</v>
      </c>
      <c r="E254" s="6">
        <v>2018</v>
      </c>
      <c r="F254" s="7" cm="1">
        <f t="array" ref="F254">_xlfn.XLOOKUP(D254&amp;E254,'[1]Viirs77-Sol'!$C$2:$C$694&amp;'[1]Viirs77-Sol'!$D$2:$D$694,'[1]Viirs77-Sol'!$E$2:$E$694)</f>
        <v>11813.011329999999</v>
      </c>
      <c r="G254" s="7" cm="1">
        <f t="array" ref="G254">_xlfn.XLOOKUP(B254&amp;E254,'[2]Viirs77-Mean'!$A$2:$A$694&amp;'[2]Viirs77-Mean'!$D$2:$D$694,'[2]Viirs77-Mean'!$E$2:$E$694)</f>
        <v>0.72583612099999995</v>
      </c>
      <c r="H254" s="9" cm="1">
        <f t="array" ref="H254">_xlfn.XLOOKUP(D254,cleanprovinces!$B$2:$B$78,_xlfn.XLOOKUP(panel!E254,cleanprovinces!$C$1:$AC$1,cleanprovinces!$C$2:$AC$78,"no",0,1))</f>
        <v>23528</v>
      </c>
      <c r="I254" s="4">
        <f t="shared" si="10"/>
        <v>23528000000</v>
      </c>
      <c r="J254" s="3" cm="1">
        <f t="array" ref="J254">_xlfn.XLOOKUP(D254,[3]Sheet1!$B$2:$B$78,_xlfn.XLOOKUP(E254,[3]Sheet1!$C$1:$AC$1,[3]Sheet1!$C$2:$AC$78))</f>
        <v>456</v>
      </c>
      <c r="K254" s="3">
        <f t="shared" si="9"/>
        <v>456000</v>
      </c>
      <c r="L254" s="3">
        <f t="shared" si="11"/>
        <v>51596.491228070176</v>
      </c>
      <c r="M254" s="10">
        <v>102.835809088649</v>
      </c>
      <c r="N254" s="10">
        <v>17.935303717489901</v>
      </c>
    </row>
    <row r="255" spans="1:14" hidden="1" x14ac:dyDescent="0.3">
      <c r="A255" s="5">
        <v>13</v>
      </c>
      <c r="B255" s="5" t="str">
        <f>_xlfn.XLOOKUP(D255,'[1]Viirs77-Sol'!$C$2:$C$694,'[1]Viirs77-Sol'!$A$2:$A$694)</f>
        <v>TH-43</v>
      </c>
      <c r="C255" s="5" t="str">
        <f>_xlfn.XLOOKUP(D255,cleanprovinces!$B:$B,cleanprovinces!$A:$A)</f>
        <v>NE</v>
      </c>
      <c r="D255" s="5" t="s">
        <v>30</v>
      </c>
      <c r="E255" s="6">
        <v>2019</v>
      </c>
      <c r="F255" s="7" cm="1">
        <f t="array" ref="F255">_xlfn.XLOOKUP(D255&amp;E255,'[1]Viirs77-Sol'!$C$2:$C$694&amp;'[1]Viirs77-Sol'!$D$2:$D$694,'[1]Viirs77-Sol'!$E$2:$E$694)</f>
        <v>11466.0347</v>
      </c>
      <c r="G255" s="7" cm="1">
        <f t="array" ref="G255">_xlfn.XLOOKUP(B255&amp;E255,'[2]Viirs77-Mean'!$A$2:$A$694&amp;'[2]Viirs77-Mean'!$D$2:$D$694,'[2]Viirs77-Mean'!$E$2:$E$694)</f>
        <v>0.70451656299999998</v>
      </c>
      <c r="H255" s="9" cm="1">
        <f t="array" ref="H255">_xlfn.XLOOKUP(D255,cleanprovinces!$B$2:$B$78,_xlfn.XLOOKUP(panel!E255,cleanprovinces!$C$1:$AC$1,cleanprovinces!$C$2:$AC$78,"no",0,1))</f>
        <v>23910</v>
      </c>
      <c r="I255" s="4">
        <f t="shared" si="10"/>
        <v>23910000000</v>
      </c>
      <c r="J255" s="3" cm="1">
        <f t="array" ref="J255">_xlfn.XLOOKUP(D255,[3]Sheet1!$B$2:$B$78,_xlfn.XLOOKUP(E255,[3]Sheet1!$C$1:$AC$1,[3]Sheet1!$C$2:$AC$78))</f>
        <v>456</v>
      </c>
      <c r="K255" s="3">
        <f t="shared" si="9"/>
        <v>456000</v>
      </c>
      <c r="L255" s="3">
        <f t="shared" si="11"/>
        <v>52434.210526315786</v>
      </c>
      <c r="M255" s="10">
        <v>102.835809088649</v>
      </c>
      <c r="N255" s="10">
        <v>17.935303717489901</v>
      </c>
    </row>
    <row r="256" spans="1:14" hidden="1" x14ac:dyDescent="0.3">
      <c r="A256" s="5">
        <v>13</v>
      </c>
      <c r="B256" s="5" t="str">
        <f>_xlfn.XLOOKUP(D256,'[1]Viirs77-Sol'!$C$2:$C$694,'[1]Viirs77-Sol'!$A$2:$A$694)</f>
        <v>TH-43</v>
      </c>
      <c r="C256" s="5" t="str">
        <f>_xlfn.XLOOKUP(D256,cleanprovinces!$B:$B,cleanprovinces!$A:$A)</f>
        <v>NE</v>
      </c>
      <c r="D256" s="5" t="s">
        <v>30</v>
      </c>
      <c r="E256" s="6">
        <v>2020</v>
      </c>
      <c r="F256" s="7" cm="1">
        <f t="array" ref="F256">_xlfn.XLOOKUP(D256&amp;E256,'[1]Viirs77-Sol'!$C$2:$C$694&amp;'[1]Viirs77-Sol'!$D$2:$D$694,'[1]Viirs77-Sol'!$E$2:$E$694)</f>
        <v>12900.49973</v>
      </c>
      <c r="G256" s="7" cm="1">
        <f t="array" ref="G256">_xlfn.XLOOKUP(B256&amp;E256,'[2]Viirs77-Mean'!$A$2:$A$694&amp;'[2]Viirs77-Mean'!$D$2:$D$694,'[2]Viirs77-Mean'!$E$2:$E$694)</f>
        <v>0.79265552399999994</v>
      </c>
      <c r="H256" s="9" cm="1">
        <f t="array" ref="H256">_xlfn.XLOOKUP(D256,cleanprovinces!$B$2:$B$78,_xlfn.XLOOKUP(panel!E256,cleanprovinces!$C$1:$AC$1,cleanprovinces!$C$2:$AC$78,"no",0,1))</f>
        <v>24139</v>
      </c>
      <c r="I256" s="4">
        <f t="shared" si="10"/>
        <v>24139000000</v>
      </c>
      <c r="J256" s="3" cm="1">
        <f t="array" ref="J256">_xlfn.XLOOKUP(D256,[3]Sheet1!$B$2:$B$78,_xlfn.XLOOKUP(E256,[3]Sheet1!$C$1:$AC$1,[3]Sheet1!$C$2:$AC$78))</f>
        <v>455</v>
      </c>
      <c r="K256" s="3">
        <f t="shared" si="9"/>
        <v>455000</v>
      </c>
      <c r="L256" s="3">
        <f t="shared" si="11"/>
        <v>53052.747252747249</v>
      </c>
      <c r="M256" s="10">
        <v>102.835809088649</v>
      </c>
      <c r="N256" s="10">
        <v>17.935303717489901</v>
      </c>
    </row>
    <row r="257" spans="1:14" hidden="1" x14ac:dyDescent="0.3">
      <c r="A257" s="5">
        <v>13</v>
      </c>
      <c r="B257" s="5" t="str">
        <f>_xlfn.XLOOKUP(D257,'[1]Viirs77-Sol'!$C$2:$C$694,'[1]Viirs77-Sol'!$A$2:$A$694)</f>
        <v>TH-43</v>
      </c>
      <c r="C257" s="5" t="str">
        <f>_xlfn.XLOOKUP(D257,cleanprovinces!$B:$B,cleanprovinces!$A:$A)</f>
        <v>NE</v>
      </c>
      <c r="D257" s="5" t="s">
        <v>30</v>
      </c>
      <c r="E257" s="6">
        <v>2021</v>
      </c>
      <c r="F257" s="7" cm="1">
        <f t="array" ref="F257">_xlfn.XLOOKUP(D257&amp;E257,'[1]Viirs77-Sol'!$C$2:$C$694&amp;'[1]Viirs77-Sol'!$D$2:$D$694,'[1]Viirs77-Sol'!$E$2:$E$694)</f>
        <v>14962.539070000001</v>
      </c>
      <c r="G257" s="7" cm="1">
        <f t="array" ref="G257">_xlfn.XLOOKUP(B257&amp;E257,'[2]Viirs77-Mean'!$A$2:$A$694&amp;'[2]Viirs77-Mean'!$D$2:$D$694,'[2]Viirs77-Mean'!$E$2:$E$694)</f>
        <v>0.91935502400000002</v>
      </c>
      <c r="H257" s="9" cm="1">
        <f t="array" ref="H257">_xlfn.XLOOKUP(D257,cleanprovinces!$B$2:$B$78,_xlfn.XLOOKUP(panel!E257,cleanprovinces!$C$1:$AC$1,cleanprovinces!$C$2:$AC$78,"no",0,1))</f>
        <v>25096</v>
      </c>
      <c r="I257" s="4">
        <f t="shared" si="10"/>
        <v>25096000000</v>
      </c>
      <c r="J257" s="3" cm="1">
        <f t="array" ref="J257">_xlfn.XLOOKUP(D257,[3]Sheet1!$B$2:$B$78,_xlfn.XLOOKUP(E257,[3]Sheet1!$C$1:$AC$1,[3]Sheet1!$C$2:$AC$78))</f>
        <v>455</v>
      </c>
      <c r="K257" s="3">
        <f t="shared" si="9"/>
        <v>455000</v>
      </c>
      <c r="L257" s="3">
        <f t="shared" si="11"/>
        <v>55156.043956043955</v>
      </c>
      <c r="M257" s="10">
        <v>102.835809088649</v>
      </c>
      <c r="N257" s="10">
        <v>17.935303717489901</v>
      </c>
    </row>
    <row r="258" spans="1:14" hidden="1" x14ac:dyDescent="0.3">
      <c r="A258" s="5">
        <v>3</v>
      </c>
      <c r="B258" s="5" t="str">
        <f>_xlfn.XLOOKUP(D258,'[1]Viirs77-Sol'!$C$2:$C$694,'[1]Viirs77-Sol'!$A$2:$A$694)</f>
        <v>TH-39</v>
      </c>
      <c r="C258" s="5" t="str">
        <f>_xlfn.XLOOKUP(D258,cleanprovinces!$B:$B,cleanprovinces!$A:$A)</f>
        <v>NE</v>
      </c>
      <c r="D258" s="5" t="s">
        <v>44</v>
      </c>
      <c r="E258" s="6">
        <v>2014</v>
      </c>
      <c r="F258" s="7" cm="1">
        <f t="array" ref="F258">_xlfn.XLOOKUP(D258&amp;E258,'[1]Viirs77-Sol'!$C$2:$C$694&amp;'[1]Viirs77-Sol'!$D$2:$D$694,'[1]Viirs77-Sol'!$E$2:$E$694)</f>
        <v>5117.8156060000001</v>
      </c>
      <c r="G258" s="7" cm="1">
        <f t="array" ref="G258">_xlfn.XLOOKUP(B258&amp;E258,'[2]Viirs77-Mean'!$A$2:$A$694&amp;'[2]Viirs77-Mean'!$D$2:$D$694,'[2]Viirs77-Mean'!$E$2:$E$694)</f>
        <v>0.24231887999999999</v>
      </c>
      <c r="H258" s="9" cm="1">
        <f t="array" ref="H258">_xlfn.XLOOKUP(D258,cleanprovinces!$B$2:$B$78,_xlfn.XLOOKUP(panel!E258,cleanprovinces!$C$1:$AC$1,cleanprovinces!$C$2:$AC$78,"no",0,1))</f>
        <v>15395</v>
      </c>
      <c r="I258" s="4">
        <f t="shared" si="10"/>
        <v>15395000000</v>
      </c>
      <c r="J258" s="3" cm="1">
        <f t="array" ref="J258">_xlfn.XLOOKUP(D258,[3]Sheet1!$B$2:$B$78,_xlfn.XLOOKUP(E258,[3]Sheet1!$C$1:$AC$1,[3]Sheet1!$C$2:$AC$78))</f>
        <v>484</v>
      </c>
      <c r="K258" s="3">
        <f t="shared" ref="K258:K321" si="12">J258*1000</f>
        <v>484000</v>
      </c>
      <c r="L258" s="3">
        <f t="shared" si="11"/>
        <v>31807.85123966942</v>
      </c>
      <c r="M258" s="10">
        <v>102.29647218185799</v>
      </c>
      <c r="N258" s="10">
        <v>17.1817743722182</v>
      </c>
    </row>
    <row r="259" spans="1:14" hidden="1" x14ac:dyDescent="0.3">
      <c r="A259" s="5">
        <v>3</v>
      </c>
      <c r="B259" s="5" t="str">
        <f>_xlfn.XLOOKUP(D259,'[1]Viirs77-Sol'!$C$2:$C$694,'[1]Viirs77-Sol'!$A$2:$A$694)</f>
        <v>TH-39</v>
      </c>
      <c r="C259" s="5" t="str">
        <f>_xlfn.XLOOKUP(D259,cleanprovinces!$B:$B,cleanprovinces!$A:$A)</f>
        <v>NE</v>
      </c>
      <c r="D259" s="5" t="s">
        <v>44</v>
      </c>
      <c r="E259" s="6">
        <v>2015</v>
      </c>
      <c r="F259" s="7" cm="1">
        <f t="array" ref="F259">_xlfn.XLOOKUP(D259&amp;E259,'[1]Viirs77-Sol'!$C$2:$C$694&amp;'[1]Viirs77-Sol'!$D$2:$D$694,'[1]Viirs77-Sol'!$E$2:$E$694)</f>
        <v>5686.3283949999995</v>
      </c>
      <c r="G259" s="7" cm="1">
        <f t="array" ref="G259">_xlfn.XLOOKUP(B259&amp;E259,'[2]Viirs77-Mean'!$A$2:$A$694&amp;'[2]Viirs77-Mean'!$D$2:$D$694,'[2]Viirs77-Mean'!$E$2:$E$694)</f>
        <v>0.26923688400000001</v>
      </c>
      <c r="H259" s="9" cm="1">
        <f t="array" ref="H259">_xlfn.XLOOKUP(D259,cleanprovinces!$B$2:$B$78,_xlfn.XLOOKUP(panel!E259,cleanprovinces!$C$1:$AC$1,cleanprovinces!$C$2:$AC$78,"no",0,1))</f>
        <v>15891</v>
      </c>
      <c r="I259" s="4">
        <f t="shared" ref="I259:I322" si="13">H259*1000000</f>
        <v>15891000000</v>
      </c>
      <c r="J259" s="3" cm="1">
        <f t="array" ref="J259">_xlfn.XLOOKUP(D259,[3]Sheet1!$B$2:$B$78,_xlfn.XLOOKUP(E259,[3]Sheet1!$C$1:$AC$1,[3]Sheet1!$C$2:$AC$78))</f>
        <v>483</v>
      </c>
      <c r="K259" s="3">
        <f t="shared" si="12"/>
        <v>483000</v>
      </c>
      <c r="L259" s="3">
        <f t="shared" ref="L259:L322" si="14">I259/K259</f>
        <v>32900.621118012423</v>
      </c>
      <c r="M259" s="10">
        <v>102.29647218185799</v>
      </c>
      <c r="N259" s="10">
        <v>17.1817743722182</v>
      </c>
    </row>
    <row r="260" spans="1:14" hidden="1" x14ac:dyDescent="0.3">
      <c r="A260" s="5">
        <v>3</v>
      </c>
      <c r="B260" s="5" t="str">
        <f>_xlfn.XLOOKUP(D260,'[1]Viirs77-Sol'!$C$2:$C$694,'[1]Viirs77-Sol'!$A$2:$A$694)</f>
        <v>TH-39</v>
      </c>
      <c r="C260" s="5" t="str">
        <f>_xlfn.XLOOKUP(D260,cleanprovinces!$B:$B,cleanprovinces!$A:$A)</f>
        <v>NE</v>
      </c>
      <c r="D260" s="5" t="s">
        <v>44</v>
      </c>
      <c r="E260" s="6">
        <v>2016</v>
      </c>
      <c r="F260" s="7" cm="1">
        <f t="array" ref="F260">_xlfn.XLOOKUP(D260&amp;E260,'[1]Viirs77-Sol'!$C$2:$C$694&amp;'[1]Viirs77-Sol'!$D$2:$D$694,'[1]Viirs77-Sol'!$E$2:$E$694)</f>
        <v>5598.70057</v>
      </c>
      <c r="G260" s="7" cm="1">
        <f t="array" ref="G260">_xlfn.XLOOKUP(B260&amp;E260,'[2]Viirs77-Mean'!$A$2:$A$694&amp;'[2]Viirs77-Mean'!$D$2:$D$694,'[2]Viirs77-Mean'!$E$2:$E$694)</f>
        <v>0.26508787299999997</v>
      </c>
      <c r="H260" s="9" cm="1">
        <f t="array" ref="H260">_xlfn.XLOOKUP(D260,cleanprovinces!$B$2:$B$78,_xlfn.XLOOKUP(panel!E260,cleanprovinces!$C$1:$AC$1,cleanprovinces!$C$2:$AC$78,"no",0,1))</f>
        <v>16963</v>
      </c>
      <c r="I260" s="4">
        <f t="shared" si="13"/>
        <v>16963000000</v>
      </c>
      <c r="J260" s="3" cm="1">
        <f t="array" ref="J260">_xlfn.XLOOKUP(D260,[3]Sheet1!$B$2:$B$78,_xlfn.XLOOKUP(E260,[3]Sheet1!$C$1:$AC$1,[3]Sheet1!$C$2:$AC$78))</f>
        <v>481</v>
      </c>
      <c r="K260" s="3">
        <f t="shared" si="12"/>
        <v>481000</v>
      </c>
      <c r="L260" s="3">
        <f t="shared" si="14"/>
        <v>35266.112266112264</v>
      </c>
      <c r="M260" s="10">
        <v>102.29647218185799</v>
      </c>
      <c r="N260" s="10">
        <v>17.1817743722182</v>
      </c>
    </row>
    <row r="261" spans="1:14" hidden="1" x14ac:dyDescent="0.3">
      <c r="A261" s="5">
        <v>3</v>
      </c>
      <c r="B261" s="5" t="str">
        <f>_xlfn.XLOOKUP(D261,'[1]Viirs77-Sol'!$C$2:$C$694,'[1]Viirs77-Sol'!$A$2:$A$694)</f>
        <v>TH-39</v>
      </c>
      <c r="C261" s="5" t="str">
        <f>_xlfn.XLOOKUP(D261,cleanprovinces!$B:$B,cleanprovinces!$A:$A)</f>
        <v>NE</v>
      </c>
      <c r="D261" s="5" t="s">
        <v>44</v>
      </c>
      <c r="E261" s="6">
        <v>2017</v>
      </c>
      <c r="F261" s="7" cm="1">
        <f t="array" ref="F261">_xlfn.XLOOKUP(D261&amp;E261,'[1]Viirs77-Sol'!$C$2:$C$694&amp;'[1]Viirs77-Sol'!$D$2:$D$694,'[1]Viirs77-Sol'!$E$2:$E$694)</f>
        <v>7264.3954139999996</v>
      </c>
      <c r="G261" s="7" cm="1">
        <f t="array" ref="G261">_xlfn.XLOOKUP(B261&amp;E261,'[2]Viirs77-Mean'!$A$2:$A$694&amp;'[2]Viirs77-Mean'!$D$2:$D$694,'[2]Viirs77-Mean'!$E$2:$E$694)</f>
        <v>0.34395536999999998</v>
      </c>
      <c r="H261" s="9" cm="1">
        <f t="array" ref="H261">_xlfn.XLOOKUP(D261,cleanprovinces!$B$2:$B$78,_xlfn.XLOOKUP(panel!E261,cleanprovinces!$C$1:$AC$1,cleanprovinces!$C$2:$AC$78,"no",0,1))</f>
        <v>17152</v>
      </c>
      <c r="I261" s="4">
        <f t="shared" si="13"/>
        <v>17152000000</v>
      </c>
      <c r="J261" s="3" cm="1">
        <f t="array" ref="J261">_xlfn.XLOOKUP(D261,[3]Sheet1!$B$2:$B$78,_xlfn.XLOOKUP(E261,[3]Sheet1!$C$1:$AC$1,[3]Sheet1!$C$2:$AC$78))</f>
        <v>480</v>
      </c>
      <c r="K261" s="3">
        <f t="shared" si="12"/>
        <v>480000</v>
      </c>
      <c r="L261" s="3">
        <f t="shared" si="14"/>
        <v>35733.333333333336</v>
      </c>
      <c r="M261" s="10">
        <v>102.29647218185799</v>
      </c>
      <c r="N261" s="10">
        <v>17.1817743722182</v>
      </c>
    </row>
    <row r="262" spans="1:14" hidden="1" x14ac:dyDescent="0.3">
      <c r="A262" s="5">
        <v>3</v>
      </c>
      <c r="B262" s="5" t="str">
        <f>_xlfn.XLOOKUP(D262,'[1]Viirs77-Sol'!$C$2:$C$694,'[1]Viirs77-Sol'!$A$2:$A$694)</f>
        <v>TH-39</v>
      </c>
      <c r="C262" s="5" t="str">
        <f>_xlfn.XLOOKUP(D262,cleanprovinces!$B:$B,cleanprovinces!$A:$A)</f>
        <v>NE</v>
      </c>
      <c r="D262" s="5" t="s">
        <v>44</v>
      </c>
      <c r="E262" s="6">
        <v>2018</v>
      </c>
      <c r="F262" s="7" cm="1">
        <f t="array" ref="F262">_xlfn.XLOOKUP(D262&amp;E262,'[1]Viirs77-Sol'!$C$2:$C$694&amp;'[1]Viirs77-Sol'!$D$2:$D$694,'[1]Viirs77-Sol'!$E$2:$E$694)</f>
        <v>7657.3606479999999</v>
      </c>
      <c r="G262" s="7" cm="1">
        <f t="array" ref="G262">_xlfn.XLOOKUP(B262&amp;E262,'[2]Viirs77-Mean'!$A$2:$A$694&amp;'[2]Viirs77-Mean'!$D$2:$D$694,'[2]Viirs77-Mean'!$E$2:$E$694)</f>
        <v>0.36256153000000002</v>
      </c>
      <c r="H262" s="9" cm="1">
        <f t="array" ref="H262">_xlfn.XLOOKUP(D262,cleanprovinces!$B$2:$B$78,_xlfn.XLOOKUP(panel!E262,cleanprovinces!$C$1:$AC$1,cleanprovinces!$C$2:$AC$78,"no",0,1))</f>
        <v>18553</v>
      </c>
      <c r="I262" s="4">
        <f t="shared" si="13"/>
        <v>18553000000</v>
      </c>
      <c r="J262" s="3" cm="1">
        <f t="array" ref="J262">_xlfn.XLOOKUP(D262,[3]Sheet1!$B$2:$B$78,_xlfn.XLOOKUP(E262,[3]Sheet1!$C$1:$AC$1,[3]Sheet1!$C$2:$AC$78))</f>
        <v>478</v>
      </c>
      <c r="K262" s="3">
        <f t="shared" si="12"/>
        <v>478000</v>
      </c>
      <c r="L262" s="3">
        <f t="shared" si="14"/>
        <v>38813.807531380757</v>
      </c>
      <c r="M262" s="10">
        <v>102.29647218185799</v>
      </c>
      <c r="N262" s="10">
        <v>17.1817743722182</v>
      </c>
    </row>
    <row r="263" spans="1:14" hidden="1" x14ac:dyDescent="0.3">
      <c r="A263" s="5">
        <v>3</v>
      </c>
      <c r="B263" s="5" t="str">
        <f>_xlfn.XLOOKUP(D263,'[1]Viirs77-Sol'!$C$2:$C$694,'[1]Viirs77-Sol'!$A$2:$A$694)</f>
        <v>TH-39</v>
      </c>
      <c r="C263" s="5" t="str">
        <f>_xlfn.XLOOKUP(D263,cleanprovinces!$B:$B,cleanprovinces!$A:$A)</f>
        <v>NE</v>
      </c>
      <c r="D263" s="5" t="s">
        <v>44</v>
      </c>
      <c r="E263" s="6">
        <v>2019</v>
      </c>
      <c r="F263" s="7" cm="1">
        <f t="array" ref="F263">_xlfn.XLOOKUP(D263&amp;E263,'[1]Viirs77-Sol'!$C$2:$C$694&amp;'[1]Viirs77-Sol'!$D$2:$D$694,'[1]Viirs77-Sol'!$E$2:$E$694)</f>
        <v>7978.0649350000003</v>
      </c>
      <c r="G263" s="7" cm="1">
        <f t="array" ref="G263">_xlfn.XLOOKUP(B263&amp;E263,'[2]Viirs77-Mean'!$A$2:$A$694&amp;'[2]Viirs77-Mean'!$D$2:$D$694,'[2]Viirs77-Mean'!$E$2:$E$694)</f>
        <v>0.37774627100000002</v>
      </c>
      <c r="H263" s="9" cm="1">
        <f t="array" ref="H263">_xlfn.XLOOKUP(D263,cleanprovinces!$B$2:$B$78,_xlfn.XLOOKUP(panel!E263,cleanprovinces!$C$1:$AC$1,cleanprovinces!$C$2:$AC$78,"no",0,1))</f>
        <v>18080</v>
      </c>
      <c r="I263" s="4">
        <f t="shared" si="13"/>
        <v>18080000000</v>
      </c>
      <c r="J263" s="3" cm="1">
        <f t="array" ref="J263">_xlfn.XLOOKUP(D263,[3]Sheet1!$B$2:$B$78,_xlfn.XLOOKUP(E263,[3]Sheet1!$C$1:$AC$1,[3]Sheet1!$C$2:$AC$78))</f>
        <v>476</v>
      </c>
      <c r="K263" s="3">
        <f t="shared" si="12"/>
        <v>476000</v>
      </c>
      <c r="L263" s="3">
        <f t="shared" si="14"/>
        <v>37983.193277310922</v>
      </c>
      <c r="M263" s="10">
        <v>102.29647218185799</v>
      </c>
      <c r="N263" s="10">
        <v>17.1817743722182</v>
      </c>
    </row>
    <row r="264" spans="1:14" hidden="1" x14ac:dyDescent="0.3">
      <c r="A264" s="5">
        <v>3</v>
      </c>
      <c r="B264" s="5" t="str">
        <f>_xlfn.XLOOKUP(D264,'[1]Viirs77-Sol'!$C$2:$C$694,'[1]Viirs77-Sol'!$A$2:$A$694)</f>
        <v>TH-39</v>
      </c>
      <c r="C264" s="5" t="str">
        <f>_xlfn.XLOOKUP(D264,cleanprovinces!$B:$B,cleanprovinces!$A:$A)</f>
        <v>NE</v>
      </c>
      <c r="D264" s="5" t="s">
        <v>44</v>
      </c>
      <c r="E264" s="6">
        <v>2020</v>
      </c>
      <c r="F264" s="7" cm="1">
        <f t="array" ref="F264">_xlfn.XLOOKUP(D264&amp;E264,'[1]Viirs77-Sol'!$C$2:$C$694&amp;'[1]Viirs77-Sol'!$D$2:$D$694,'[1]Viirs77-Sol'!$E$2:$E$694)</f>
        <v>9409.6863620000004</v>
      </c>
      <c r="G264" s="7" cm="1">
        <f t="array" ref="G264">_xlfn.XLOOKUP(B264&amp;E264,'[2]Viirs77-Mean'!$A$2:$A$694&amp;'[2]Viirs77-Mean'!$D$2:$D$694,'[2]Viirs77-Mean'!$E$2:$E$694)</f>
        <v>0.44553083500000001</v>
      </c>
      <c r="H264" s="9" cm="1">
        <f t="array" ref="H264">_xlfn.XLOOKUP(D264,cleanprovinces!$B$2:$B$78,_xlfn.XLOOKUP(panel!E264,cleanprovinces!$C$1:$AC$1,cleanprovinces!$C$2:$AC$78,"no",0,1))</f>
        <v>17234</v>
      </c>
      <c r="I264" s="4">
        <f t="shared" si="13"/>
        <v>17234000000</v>
      </c>
      <c r="J264" s="3" cm="1">
        <f t="array" ref="J264">_xlfn.XLOOKUP(D264,[3]Sheet1!$B$2:$B$78,_xlfn.XLOOKUP(E264,[3]Sheet1!$C$1:$AC$1,[3]Sheet1!$C$2:$AC$78))</f>
        <v>474</v>
      </c>
      <c r="K264" s="3">
        <f t="shared" si="12"/>
        <v>474000</v>
      </c>
      <c r="L264" s="3">
        <f t="shared" si="14"/>
        <v>36358.649789029536</v>
      </c>
      <c r="M264" s="10">
        <v>102.29647218185799</v>
      </c>
      <c r="N264" s="10">
        <v>17.1817743722182</v>
      </c>
    </row>
    <row r="265" spans="1:14" hidden="1" x14ac:dyDescent="0.3">
      <c r="A265" s="5">
        <v>3</v>
      </c>
      <c r="B265" s="5" t="str">
        <f>_xlfn.XLOOKUP(D265,'[1]Viirs77-Sol'!$C$2:$C$694,'[1]Viirs77-Sol'!$A$2:$A$694)</f>
        <v>TH-39</v>
      </c>
      <c r="C265" s="5" t="str">
        <f>_xlfn.XLOOKUP(D265,cleanprovinces!$B:$B,cleanprovinces!$A:$A)</f>
        <v>NE</v>
      </c>
      <c r="D265" s="5" t="s">
        <v>44</v>
      </c>
      <c r="E265" s="6">
        <v>2021</v>
      </c>
      <c r="F265" s="7" cm="1">
        <f t="array" ref="F265">_xlfn.XLOOKUP(D265&amp;E265,'[1]Viirs77-Sol'!$C$2:$C$694&amp;'[1]Viirs77-Sol'!$D$2:$D$694,'[1]Viirs77-Sol'!$E$2:$E$694)</f>
        <v>11141.851860000001</v>
      </c>
      <c r="G265" s="7" cm="1">
        <f t="array" ref="G265">_xlfn.XLOOKUP(B265&amp;E265,'[2]Viirs77-Mean'!$A$2:$A$694&amp;'[2]Viirs77-Mean'!$D$2:$D$694,'[2]Viirs77-Mean'!$E$2:$E$694)</f>
        <v>0.52754559199999995</v>
      </c>
      <c r="H265" s="9" cm="1">
        <f t="array" ref="H265">_xlfn.XLOOKUP(D265,cleanprovinces!$B$2:$B$78,_xlfn.XLOOKUP(panel!E265,cleanprovinces!$C$1:$AC$1,cleanprovinces!$C$2:$AC$78,"no",0,1))</f>
        <v>18061</v>
      </c>
      <c r="I265" s="4">
        <f t="shared" si="13"/>
        <v>18061000000</v>
      </c>
      <c r="J265" s="3" cm="1">
        <f t="array" ref="J265">_xlfn.XLOOKUP(D265,[3]Sheet1!$B$2:$B$78,_xlfn.XLOOKUP(E265,[3]Sheet1!$C$1:$AC$1,[3]Sheet1!$C$2:$AC$78))</f>
        <v>472</v>
      </c>
      <c r="K265" s="3">
        <f t="shared" si="12"/>
        <v>472000</v>
      </c>
      <c r="L265" s="3">
        <f t="shared" si="14"/>
        <v>38264.830508474573</v>
      </c>
      <c r="M265" s="10">
        <v>102.29647218185799</v>
      </c>
      <c r="N265" s="10">
        <v>17.1817743722182</v>
      </c>
    </row>
    <row r="266" spans="1:14" hidden="1" x14ac:dyDescent="0.3">
      <c r="A266" s="5">
        <v>0</v>
      </c>
      <c r="B266" s="5" t="str">
        <f>_xlfn.XLOOKUP(D266,'[1]Viirs77-Sol'!$C$2:$C$694,'[1]Viirs77-Sol'!$A$2:$A$694)</f>
        <v>TH-45</v>
      </c>
      <c r="C266" s="5" t="str">
        <f>_xlfn.XLOOKUP(D266,cleanprovinces!$B:$B,cleanprovinces!$A:$A)</f>
        <v>NE</v>
      </c>
      <c r="D266" s="5" t="s">
        <v>39</v>
      </c>
      <c r="E266" s="6">
        <v>2014</v>
      </c>
      <c r="F266" s="7" cm="1">
        <f t="array" ref="F266">_xlfn.XLOOKUP(D266&amp;E266,'[1]Viirs77-Sol'!$C$2:$C$694&amp;'[1]Viirs77-Sol'!$D$2:$D$694,'[1]Viirs77-Sol'!$E$2:$E$694)</f>
        <v>10367.501780000001</v>
      </c>
      <c r="G266" s="7" cm="1">
        <f t="array" ref="G266">_xlfn.XLOOKUP(B266&amp;E266,'[2]Viirs77-Mean'!$A$2:$A$694&amp;'[2]Viirs77-Mean'!$D$2:$D$694,'[2]Viirs77-Mean'!$E$2:$E$694)</f>
        <v>0.27610074499999998</v>
      </c>
      <c r="H266" s="9" cm="1">
        <f t="array" ref="H266">_xlfn.XLOOKUP(D266,cleanprovinces!$B$2:$B$78,_xlfn.XLOOKUP(panel!E266,cleanprovinces!$C$1:$AC$1,cleanprovinces!$C$2:$AC$78,"no",0,1))</f>
        <v>40204</v>
      </c>
      <c r="I266" s="4">
        <f t="shared" si="13"/>
        <v>40204000000</v>
      </c>
      <c r="J266" s="3" cm="1">
        <f t="array" ref="J266">_xlfn.XLOOKUP(D266,[3]Sheet1!$B$2:$B$78,_xlfn.XLOOKUP(E266,[3]Sheet1!$C$1:$AC$1,[3]Sheet1!$C$2:$AC$78))</f>
        <v>1084</v>
      </c>
      <c r="K266" s="3">
        <f t="shared" si="12"/>
        <v>1084000</v>
      </c>
      <c r="L266" s="3">
        <f t="shared" si="14"/>
        <v>37088.560885608858</v>
      </c>
      <c r="M266" s="10">
        <v>103.826197458225</v>
      </c>
      <c r="N266" s="10">
        <v>15.922765424828</v>
      </c>
    </row>
    <row r="267" spans="1:14" hidden="1" x14ac:dyDescent="0.3">
      <c r="A267" s="5">
        <v>0</v>
      </c>
      <c r="B267" s="5" t="str">
        <f>_xlfn.XLOOKUP(D267,'[1]Viirs77-Sol'!$C$2:$C$694,'[1]Viirs77-Sol'!$A$2:$A$694)</f>
        <v>TH-45</v>
      </c>
      <c r="C267" s="5" t="str">
        <f>_xlfn.XLOOKUP(D267,cleanprovinces!$B:$B,cleanprovinces!$A:$A)</f>
        <v>NE</v>
      </c>
      <c r="D267" s="5" t="s">
        <v>39</v>
      </c>
      <c r="E267" s="6">
        <v>2015</v>
      </c>
      <c r="F267" s="7" cm="1">
        <f t="array" ref="F267">_xlfn.XLOOKUP(D267&amp;E267,'[1]Viirs77-Sol'!$C$2:$C$694&amp;'[1]Viirs77-Sol'!$D$2:$D$694,'[1]Viirs77-Sol'!$E$2:$E$694)</f>
        <v>12050.77072</v>
      </c>
      <c r="G267" s="7" cm="1">
        <f t="array" ref="G267">_xlfn.XLOOKUP(B267&amp;E267,'[2]Viirs77-Mean'!$A$2:$A$694&amp;'[2]Viirs77-Mean'!$D$2:$D$694,'[2]Viirs77-Mean'!$E$2:$E$694)</f>
        <v>0.32092849800000001</v>
      </c>
      <c r="H267" s="9" cm="1">
        <f t="array" ref="H267">_xlfn.XLOOKUP(D267,cleanprovinces!$B$2:$B$78,_xlfn.XLOOKUP(panel!E267,cleanprovinces!$C$1:$AC$1,cleanprovinces!$C$2:$AC$78,"no",0,1))</f>
        <v>40873</v>
      </c>
      <c r="I267" s="4">
        <f t="shared" si="13"/>
        <v>40873000000</v>
      </c>
      <c r="J267" s="3" cm="1">
        <f t="array" ref="J267">_xlfn.XLOOKUP(D267,[3]Sheet1!$B$2:$B$78,_xlfn.XLOOKUP(E267,[3]Sheet1!$C$1:$AC$1,[3]Sheet1!$C$2:$AC$78))</f>
        <v>1084</v>
      </c>
      <c r="K267" s="3">
        <f t="shared" si="12"/>
        <v>1084000</v>
      </c>
      <c r="L267" s="3">
        <f t="shared" si="14"/>
        <v>37705.719557195574</v>
      </c>
      <c r="M267" s="10">
        <v>103.826197458225</v>
      </c>
      <c r="N267" s="10">
        <v>15.922765424828</v>
      </c>
    </row>
    <row r="268" spans="1:14" hidden="1" x14ac:dyDescent="0.3">
      <c r="A268" s="5">
        <v>0</v>
      </c>
      <c r="B268" s="5" t="str">
        <f>_xlfn.XLOOKUP(D268,'[1]Viirs77-Sol'!$C$2:$C$694,'[1]Viirs77-Sol'!$A$2:$A$694)</f>
        <v>TH-45</v>
      </c>
      <c r="C268" s="5" t="str">
        <f>_xlfn.XLOOKUP(D268,cleanprovinces!$B:$B,cleanprovinces!$A:$A)</f>
        <v>NE</v>
      </c>
      <c r="D268" s="5" t="s">
        <v>39</v>
      </c>
      <c r="E268" s="6">
        <v>2016</v>
      </c>
      <c r="F268" s="7" cm="1">
        <f t="array" ref="F268">_xlfn.XLOOKUP(D268&amp;E268,'[1]Viirs77-Sol'!$C$2:$C$694&amp;'[1]Viirs77-Sol'!$D$2:$D$694,'[1]Viirs77-Sol'!$E$2:$E$694)</f>
        <v>11931.435020000001</v>
      </c>
      <c r="G268" s="7" cm="1">
        <f t="array" ref="G268">_xlfn.XLOOKUP(B268&amp;E268,'[2]Viirs77-Mean'!$A$2:$A$694&amp;'[2]Viirs77-Mean'!$D$2:$D$694,'[2]Viirs77-Mean'!$E$2:$E$694)</f>
        <v>0.317750425</v>
      </c>
      <c r="H268" s="9" cm="1">
        <f t="array" ref="H268">_xlfn.XLOOKUP(D268,cleanprovinces!$B$2:$B$78,_xlfn.XLOOKUP(panel!E268,cleanprovinces!$C$1:$AC$1,cleanprovinces!$C$2:$AC$78,"no",0,1))</f>
        <v>42244</v>
      </c>
      <c r="I268" s="4">
        <f t="shared" si="13"/>
        <v>42244000000</v>
      </c>
      <c r="J268" s="3" cm="1">
        <f t="array" ref="J268">_xlfn.XLOOKUP(D268,[3]Sheet1!$B$2:$B$78,_xlfn.XLOOKUP(E268,[3]Sheet1!$C$1:$AC$1,[3]Sheet1!$C$2:$AC$78))</f>
        <v>1079</v>
      </c>
      <c r="K268" s="3">
        <f t="shared" si="12"/>
        <v>1079000</v>
      </c>
      <c r="L268" s="3">
        <f t="shared" si="14"/>
        <v>39151.065801668214</v>
      </c>
      <c r="M268" s="10">
        <v>103.826197458225</v>
      </c>
      <c r="N268" s="10">
        <v>15.922765424828</v>
      </c>
    </row>
    <row r="269" spans="1:14" hidden="1" x14ac:dyDescent="0.3">
      <c r="A269" s="5">
        <v>0</v>
      </c>
      <c r="B269" s="5" t="str">
        <f>_xlfn.XLOOKUP(D269,'[1]Viirs77-Sol'!$C$2:$C$694,'[1]Viirs77-Sol'!$A$2:$A$694)</f>
        <v>TH-45</v>
      </c>
      <c r="C269" s="5" t="str">
        <f>_xlfn.XLOOKUP(D269,cleanprovinces!$B:$B,cleanprovinces!$A:$A)</f>
        <v>NE</v>
      </c>
      <c r="D269" s="5" t="s">
        <v>39</v>
      </c>
      <c r="E269" s="6">
        <v>2017</v>
      </c>
      <c r="F269" s="7" cm="1">
        <f t="array" ref="F269">_xlfn.XLOOKUP(D269&amp;E269,'[1]Viirs77-Sol'!$C$2:$C$694&amp;'[1]Viirs77-Sol'!$D$2:$D$694,'[1]Viirs77-Sol'!$E$2:$E$694)</f>
        <v>17748.875069999998</v>
      </c>
      <c r="G269" s="7" cm="1">
        <f t="array" ref="G269">_xlfn.XLOOKUP(B269&amp;E269,'[2]Viirs77-Mean'!$A$2:$A$694&amp;'[2]Viirs77-Mean'!$D$2:$D$694,'[2]Viirs77-Mean'!$E$2:$E$694)</f>
        <v>0.47267680699999998</v>
      </c>
      <c r="H269" s="9" cm="1">
        <f t="array" ref="H269">_xlfn.XLOOKUP(D269,cleanprovinces!$B$2:$B$78,_xlfn.XLOOKUP(panel!E269,cleanprovinces!$C$1:$AC$1,cleanprovinces!$C$2:$AC$78,"no",0,1))</f>
        <v>43890</v>
      </c>
      <c r="I269" s="4">
        <f t="shared" si="13"/>
        <v>43890000000</v>
      </c>
      <c r="J269" s="3" cm="1">
        <f t="array" ref="J269">_xlfn.XLOOKUP(D269,[3]Sheet1!$B$2:$B$78,_xlfn.XLOOKUP(E269,[3]Sheet1!$C$1:$AC$1,[3]Sheet1!$C$2:$AC$78))</f>
        <v>1073</v>
      </c>
      <c r="K269" s="3">
        <f t="shared" si="12"/>
        <v>1073000</v>
      </c>
      <c r="L269" s="3">
        <f t="shared" si="14"/>
        <v>40904.007455731597</v>
      </c>
      <c r="M269" s="10">
        <v>103.826197458225</v>
      </c>
      <c r="N269" s="10">
        <v>15.922765424828</v>
      </c>
    </row>
    <row r="270" spans="1:14" hidden="1" x14ac:dyDescent="0.3">
      <c r="A270" s="5">
        <v>0</v>
      </c>
      <c r="B270" s="5" t="str">
        <f>_xlfn.XLOOKUP(D270,'[1]Viirs77-Sol'!$C$2:$C$694,'[1]Viirs77-Sol'!$A$2:$A$694)</f>
        <v>TH-45</v>
      </c>
      <c r="C270" s="5" t="str">
        <f>_xlfn.XLOOKUP(D270,cleanprovinces!$B:$B,cleanprovinces!$A:$A)</f>
        <v>NE</v>
      </c>
      <c r="D270" s="5" t="s">
        <v>39</v>
      </c>
      <c r="E270" s="6">
        <v>2018</v>
      </c>
      <c r="F270" s="7" cm="1">
        <f t="array" ref="F270">_xlfn.XLOOKUP(D270&amp;E270,'[1]Viirs77-Sol'!$C$2:$C$694&amp;'[1]Viirs77-Sol'!$D$2:$D$694,'[1]Viirs77-Sol'!$E$2:$E$694)</f>
        <v>18810.651279999998</v>
      </c>
      <c r="G270" s="7" cm="1">
        <f t="array" ref="G270">_xlfn.XLOOKUP(B270&amp;E270,'[2]Viirs77-Mean'!$A$2:$A$694&amp;'[2]Viirs77-Mean'!$D$2:$D$694,'[2]Viirs77-Mean'!$E$2:$E$694)</f>
        <v>0.50095335900000004</v>
      </c>
      <c r="H270" s="9" cm="1">
        <f t="array" ref="H270">_xlfn.XLOOKUP(D270,cleanprovinces!$B$2:$B$78,_xlfn.XLOOKUP(panel!E270,cleanprovinces!$C$1:$AC$1,cleanprovinces!$C$2:$AC$78,"no",0,1))</f>
        <v>45204</v>
      </c>
      <c r="I270" s="4">
        <f t="shared" si="13"/>
        <v>45204000000</v>
      </c>
      <c r="J270" s="3" cm="1">
        <f t="array" ref="J270">_xlfn.XLOOKUP(D270,[3]Sheet1!$B$2:$B$78,_xlfn.XLOOKUP(E270,[3]Sheet1!$C$1:$AC$1,[3]Sheet1!$C$2:$AC$78))</f>
        <v>1068</v>
      </c>
      <c r="K270" s="3">
        <f t="shared" si="12"/>
        <v>1068000</v>
      </c>
      <c r="L270" s="3">
        <f t="shared" si="14"/>
        <v>42325.84269662921</v>
      </c>
      <c r="M270" s="10">
        <v>103.826197458225</v>
      </c>
      <c r="N270" s="10">
        <v>15.922765424828</v>
      </c>
    </row>
    <row r="271" spans="1:14" hidden="1" x14ac:dyDescent="0.3">
      <c r="A271" s="5">
        <v>0</v>
      </c>
      <c r="B271" s="5" t="str">
        <f>_xlfn.XLOOKUP(D271,'[1]Viirs77-Sol'!$C$2:$C$694,'[1]Viirs77-Sol'!$A$2:$A$694)</f>
        <v>TH-45</v>
      </c>
      <c r="C271" s="5" t="str">
        <f>_xlfn.XLOOKUP(D271,cleanprovinces!$B:$B,cleanprovinces!$A:$A)</f>
        <v>NE</v>
      </c>
      <c r="D271" s="5" t="s">
        <v>39</v>
      </c>
      <c r="E271" s="6">
        <v>2019</v>
      </c>
      <c r="F271" s="7" cm="1">
        <f t="array" ref="F271">_xlfn.XLOOKUP(D271&amp;E271,'[1]Viirs77-Sol'!$C$2:$C$694&amp;'[1]Viirs77-Sol'!$D$2:$D$694,'[1]Viirs77-Sol'!$E$2:$E$694)</f>
        <v>18751.440930000001</v>
      </c>
      <c r="G271" s="7" cm="1">
        <f t="array" ref="G271">_xlfn.XLOOKUP(B271&amp;E271,'[2]Viirs77-Mean'!$A$2:$A$694&amp;'[2]Viirs77-Mean'!$D$2:$D$694,'[2]Viirs77-Mean'!$E$2:$E$694)</f>
        <v>0.499376506</v>
      </c>
      <c r="H271" s="9" cm="1">
        <f t="array" ref="H271">_xlfn.XLOOKUP(D271,cleanprovinces!$B$2:$B$78,_xlfn.XLOOKUP(panel!E271,cleanprovinces!$C$1:$AC$1,cleanprovinces!$C$2:$AC$78,"no",0,1))</f>
        <v>44188</v>
      </c>
      <c r="I271" s="4">
        <f t="shared" si="13"/>
        <v>44188000000</v>
      </c>
      <c r="J271" s="3" cm="1">
        <f t="array" ref="J271">_xlfn.XLOOKUP(D271,[3]Sheet1!$B$2:$B$78,_xlfn.XLOOKUP(E271,[3]Sheet1!$C$1:$AC$1,[3]Sheet1!$C$2:$AC$78))</f>
        <v>1062</v>
      </c>
      <c r="K271" s="3">
        <f t="shared" si="12"/>
        <v>1062000</v>
      </c>
      <c r="L271" s="3">
        <f t="shared" si="14"/>
        <v>41608.286252354046</v>
      </c>
      <c r="M271" s="10">
        <v>103.826197458225</v>
      </c>
      <c r="N271" s="10">
        <v>15.922765424828</v>
      </c>
    </row>
    <row r="272" spans="1:14" hidden="1" x14ac:dyDescent="0.3">
      <c r="A272" s="5">
        <v>0</v>
      </c>
      <c r="B272" s="5" t="str">
        <f>_xlfn.XLOOKUP(D272,'[1]Viirs77-Sol'!$C$2:$C$694,'[1]Viirs77-Sol'!$A$2:$A$694)</f>
        <v>TH-45</v>
      </c>
      <c r="C272" s="5" t="str">
        <f>_xlfn.XLOOKUP(D272,cleanprovinces!$B:$B,cleanprovinces!$A:$A)</f>
        <v>NE</v>
      </c>
      <c r="D272" s="5" t="s">
        <v>39</v>
      </c>
      <c r="E272" s="6">
        <v>2020</v>
      </c>
      <c r="F272" s="7" cm="1">
        <f t="array" ref="F272">_xlfn.XLOOKUP(D272&amp;E272,'[1]Viirs77-Sol'!$C$2:$C$694&amp;'[1]Viirs77-Sol'!$D$2:$D$694,'[1]Viirs77-Sol'!$E$2:$E$694)</f>
        <v>22672.842519999998</v>
      </c>
      <c r="G272" s="7" cm="1">
        <f t="array" ref="G272">_xlfn.XLOOKUP(B272&amp;E272,'[2]Viirs77-Mean'!$A$2:$A$694&amp;'[2]Viirs77-Mean'!$D$2:$D$694,'[2]Viirs77-Mean'!$E$2:$E$694)</f>
        <v>0.60380879099999996</v>
      </c>
      <c r="H272" s="9" cm="1">
        <f t="array" ref="H272">_xlfn.XLOOKUP(D272,cleanprovinces!$B$2:$B$78,_xlfn.XLOOKUP(panel!E272,cleanprovinces!$C$1:$AC$1,cleanprovinces!$C$2:$AC$78,"no",0,1))</f>
        <v>45580</v>
      </c>
      <c r="I272" s="4">
        <f t="shared" si="13"/>
        <v>45580000000</v>
      </c>
      <c r="J272" s="3" cm="1">
        <f t="array" ref="J272">_xlfn.XLOOKUP(D272,[3]Sheet1!$B$2:$B$78,_xlfn.XLOOKUP(E272,[3]Sheet1!$C$1:$AC$1,[3]Sheet1!$C$2:$AC$78))</f>
        <v>1056</v>
      </c>
      <c r="K272" s="3">
        <f t="shared" si="12"/>
        <v>1056000</v>
      </c>
      <c r="L272" s="3">
        <f t="shared" si="14"/>
        <v>43162.878787878784</v>
      </c>
      <c r="M272" s="10">
        <v>103.826197458225</v>
      </c>
      <c r="N272" s="10">
        <v>15.922765424828</v>
      </c>
    </row>
    <row r="273" spans="1:14" hidden="1" x14ac:dyDescent="0.3">
      <c r="A273" s="5">
        <v>0</v>
      </c>
      <c r="B273" s="5" t="str">
        <f>_xlfn.XLOOKUP(D273,'[1]Viirs77-Sol'!$C$2:$C$694,'[1]Viirs77-Sol'!$A$2:$A$694)</f>
        <v>TH-45</v>
      </c>
      <c r="C273" s="5" t="str">
        <f>_xlfn.XLOOKUP(D273,cleanprovinces!$B:$B,cleanprovinces!$A:$A)</f>
        <v>NE</v>
      </c>
      <c r="D273" s="5" t="s">
        <v>39</v>
      </c>
      <c r="E273" s="6">
        <v>2021</v>
      </c>
      <c r="F273" s="7" cm="1">
        <f t="array" ref="F273">_xlfn.XLOOKUP(D273&amp;E273,'[1]Viirs77-Sol'!$C$2:$C$694&amp;'[1]Viirs77-Sol'!$D$2:$D$694,'[1]Viirs77-Sol'!$E$2:$E$694)</f>
        <v>27716.373820000001</v>
      </c>
      <c r="G273" s="7" cm="1">
        <f t="array" ref="G273">_xlfn.XLOOKUP(B273&amp;E273,'[2]Viirs77-Mean'!$A$2:$A$694&amp;'[2]Viirs77-Mean'!$D$2:$D$694,'[2]Viirs77-Mean'!$E$2:$E$694)</f>
        <v>0.73812492500000004</v>
      </c>
      <c r="H273" s="9" cm="1">
        <f t="array" ref="H273">_xlfn.XLOOKUP(D273,cleanprovinces!$B$2:$B$78,_xlfn.XLOOKUP(panel!E273,cleanprovinces!$C$1:$AC$1,cleanprovinces!$C$2:$AC$78,"no",0,1))</f>
        <v>46628</v>
      </c>
      <c r="I273" s="4">
        <f t="shared" si="13"/>
        <v>46628000000</v>
      </c>
      <c r="J273" s="3" cm="1">
        <f t="array" ref="J273">_xlfn.XLOOKUP(D273,[3]Sheet1!$B$2:$B$78,_xlfn.XLOOKUP(E273,[3]Sheet1!$C$1:$AC$1,[3]Sheet1!$C$2:$AC$78))</f>
        <v>1050</v>
      </c>
      <c r="K273" s="3">
        <f t="shared" si="12"/>
        <v>1050000</v>
      </c>
      <c r="L273" s="3">
        <f t="shared" si="14"/>
        <v>44407.619047619046</v>
      </c>
      <c r="M273" s="10">
        <v>103.826197458225</v>
      </c>
      <c r="N273" s="10">
        <v>15.922765424828</v>
      </c>
    </row>
    <row r="274" spans="1:14" hidden="1" x14ac:dyDescent="0.3">
      <c r="A274" s="5">
        <v>24</v>
      </c>
      <c r="B274" s="5" t="str">
        <f>_xlfn.XLOOKUP(D274,'[1]Viirs77-Sol'!$C$2:$C$694,'[1]Viirs77-Sol'!$A$2:$A$694)</f>
        <v>TH-47</v>
      </c>
      <c r="C274" s="5" t="str">
        <f>_xlfn.XLOOKUP(D274,cleanprovinces!$B:$B,cleanprovinces!$A:$A)</f>
        <v>NE</v>
      </c>
      <c r="D274" s="5" t="s">
        <v>33</v>
      </c>
      <c r="E274" s="6">
        <v>2014</v>
      </c>
      <c r="F274" s="7" cm="1">
        <f t="array" ref="F274">_xlfn.XLOOKUP(D274&amp;E274,'[1]Viirs77-Sol'!$C$2:$C$694&amp;'[1]Viirs77-Sol'!$D$2:$D$694,'[1]Viirs77-Sol'!$E$2:$E$694)</f>
        <v>8879.4038139999993</v>
      </c>
      <c r="G274" s="7" cm="1">
        <f t="array" ref="G274">_xlfn.XLOOKUP(B274&amp;E274,'[2]Viirs77-Mean'!$A$2:$A$694&amp;'[2]Viirs77-Mean'!$D$2:$D$694,'[2]Viirs77-Mean'!$E$2:$E$694)</f>
        <v>0.189702127</v>
      </c>
      <c r="H274" s="9" cm="1">
        <f t="array" ref="H274">_xlfn.XLOOKUP(D274,cleanprovinces!$B$2:$B$78,_xlfn.XLOOKUP(panel!E274,cleanprovinces!$C$1:$AC$1,cleanprovinces!$C$2:$AC$78,"no",0,1))</f>
        <v>29899</v>
      </c>
      <c r="I274" s="4">
        <f t="shared" si="13"/>
        <v>29899000000</v>
      </c>
      <c r="J274" s="3" cm="1">
        <f t="array" ref="J274">_xlfn.XLOOKUP(D274,[3]Sheet1!$B$2:$B$78,_xlfn.XLOOKUP(E274,[3]Sheet1!$C$1:$AC$1,[3]Sheet1!$C$2:$AC$78))</f>
        <v>937</v>
      </c>
      <c r="K274" s="3">
        <f t="shared" si="12"/>
        <v>937000</v>
      </c>
      <c r="L274" s="3">
        <f t="shared" si="14"/>
        <v>31909.284951974387</v>
      </c>
      <c r="M274" s="10">
        <v>103.820929320631</v>
      </c>
      <c r="N274" s="10">
        <v>17.388370013987402</v>
      </c>
    </row>
    <row r="275" spans="1:14" hidden="1" x14ac:dyDescent="0.3">
      <c r="A275" s="5">
        <v>24</v>
      </c>
      <c r="B275" s="5" t="str">
        <f>_xlfn.XLOOKUP(D275,'[1]Viirs77-Sol'!$C$2:$C$694,'[1]Viirs77-Sol'!$A$2:$A$694)</f>
        <v>TH-47</v>
      </c>
      <c r="C275" s="5" t="str">
        <f>_xlfn.XLOOKUP(D275,cleanprovinces!$B:$B,cleanprovinces!$A:$A)</f>
        <v>NE</v>
      </c>
      <c r="D275" s="5" t="s">
        <v>33</v>
      </c>
      <c r="E275" s="6">
        <v>2015</v>
      </c>
      <c r="F275" s="7" cm="1">
        <f t="array" ref="F275">_xlfn.XLOOKUP(D275&amp;E275,'[1]Viirs77-Sol'!$C$2:$C$694&amp;'[1]Viirs77-Sol'!$D$2:$D$694,'[1]Viirs77-Sol'!$E$2:$E$694)</f>
        <v>10292.552449999999</v>
      </c>
      <c r="G275" s="7" cm="1">
        <f t="array" ref="G275">_xlfn.XLOOKUP(B275&amp;E275,'[2]Viirs77-Mean'!$A$2:$A$694&amp;'[2]Viirs77-Mean'!$D$2:$D$694,'[2]Viirs77-Mean'!$E$2:$E$694)</f>
        <v>0.21989303900000001</v>
      </c>
      <c r="H275" s="9" cm="1">
        <f t="array" ref="H275">_xlfn.XLOOKUP(D275,cleanprovinces!$B$2:$B$78,_xlfn.XLOOKUP(panel!E275,cleanprovinces!$C$1:$AC$1,cleanprovinces!$C$2:$AC$78,"no",0,1))</f>
        <v>30798</v>
      </c>
      <c r="I275" s="4">
        <f t="shared" si="13"/>
        <v>30798000000</v>
      </c>
      <c r="J275" s="3" cm="1">
        <f t="array" ref="J275">_xlfn.XLOOKUP(D275,[3]Sheet1!$B$2:$B$78,_xlfn.XLOOKUP(E275,[3]Sheet1!$C$1:$AC$1,[3]Sheet1!$C$2:$AC$78))</f>
        <v>936</v>
      </c>
      <c r="K275" s="3">
        <f t="shared" si="12"/>
        <v>936000</v>
      </c>
      <c r="L275" s="3">
        <f t="shared" si="14"/>
        <v>32903.846153846156</v>
      </c>
      <c r="M275" s="10">
        <v>103.820929320631</v>
      </c>
      <c r="N275" s="10">
        <v>17.388370013987402</v>
      </c>
    </row>
    <row r="276" spans="1:14" hidden="1" x14ac:dyDescent="0.3">
      <c r="A276" s="5">
        <v>24</v>
      </c>
      <c r="B276" s="5" t="str">
        <f>_xlfn.XLOOKUP(D276,'[1]Viirs77-Sol'!$C$2:$C$694,'[1]Viirs77-Sol'!$A$2:$A$694)</f>
        <v>TH-47</v>
      </c>
      <c r="C276" s="5" t="str">
        <f>_xlfn.XLOOKUP(D276,cleanprovinces!$B:$B,cleanprovinces!$A:$A)</f>
        <v>NE</v>
      </c>
      <c r="D276" s="5" t="s">
        <v>33</v>
      </c>
      <c r="E276" s="6">
        <v>2016</v>
      </c>
      <c r="F276" s="7" cm="1">
        <f t="array" ref="F276">_xlfn.XLOOKUP(D276&amp;E276,'[1]Viirs77-Sol'!$C$2:$C$694&amp;'[1]Viirs77-Sol'!$D$2:$D$694,'[1]Viirs77-Sol'!$E$2:$E$694)</f>
        <v>10453.010109999999</v>
      </c>
      <c r="G276" s="7" cm="1">
        <f t="array" ref="G276">_xlfn.XLOOKUP(B276&amp;E276,'[2]Viirs77-Mean'!$A$2:$A$694&amp;'[2]Viirs77-Mean'!$D$2:$D$694,'[2]Viirs77-Mean'!$E$2:$E$694)</f>
        <v>0.22332110199999999</v>
      </c>
      <c r="H276" s="9" cm="1">
        <f t="array" ref="H276">_xlfn.XLOOKUP(D276,cleanprovinces!$B$2:$B$78,_xlfn.XLOOKUP(panel!E276,cleanprovinces!$C$1:$AC$1,cleanprovinces!$C$2:$AC$78,"no",0,1))</f>
        <v>33157</v>
      </c>
      <c r="I276" s="4">
        <f t="shared" si="13"/>
        <v>33157000000</v>
      </c>
      <c r="J276" s="3" cm="1">
        <f t="array" ref="J276">_xlfn.XLOOKUP(D276,[3]Sheet1!$B$2:$B$78,_xlfn.XLOOKUP(E276,[3]Sheet1!$C$1:$AC$1,[3]Sheet1!$C$2:$AC$78))</f>
        <v>932</v>
      </c>
      <c r="K276" s="3">
        <f t="shared" si="12"/>
        <v>932000</v>
      </c>
      <c r="L276" s="3">
        <f t="shared" si="14"/>
        <v>35576.180257510729</v>
      </c>
      <c r="M276" s="10">
        <v>103.820929320631</v>
      </c>
      <c r="N276" s="10">
        <v>17.388370013987402</v>
      </c>
    </row>
    <row r="277" spans="1:14" hidden="1" x14ac:dyDescent="0.3">
      <c r="A277" s="5">
        <v>24</v>
      </c>
      <c r="B277" s="5" t="str">
        <f>_xlfn.XLOOKUP(D277,'[1]Viirs77-Sol'!$C$2:$C$694,'[1]Viirs77-Sol'!$A$2:$A$694)</f>
        <v>TH-47</v>
      </c>
      <c r="C277" s="5" t="str">
        <f>_xlfn.XLOOKUP(D277,cleanprovinces!$B:$B,cleanprovinces!$A:$A)</f>
        <v>NE</v>
      </c>
      <c r="D277" s="5" t="s">
        <v>33</v>
      </c>
      <c r="E277" s="6">
        <v>2017</v>
      </c>
      <c r="F277" s="7" cm="1">
        <f t="array" ref="F277">_xlfn.XLOOKUP(D277&amp;E277,'[1]Viirs77-Sol'!$C$2:$C$694&amp;'[1]Viirs77-Sol'!$D$2:$D$694,'[1]Viirs77-Sol'!$E$2:$E$694)</f>
        <v>15794.403539999999</v>
      </c>
      <c r="G277" s="7" cm="1">
        <f t="array" ref="G277">_xlfn.XLOOKUP(B277&amp;E277,'[2]Viirs77-Mean'!$A$2:$A$694&amp;'[2]Viirs77-Mean'!$D$2:$D$694,'[2]Viirs77-Mean'!$E$2:$E$694)</f>
        <v>0.33743616199999998</v>
      </c>
      <c r="H277" s="9" cm="1">
        <f t="array" ref="H277">_xlfn.XLOOKUP(D277,cleanprovinces!$B$2:$B$78,_xlfn.XLOOKUP(panel!E277,cleanprovinces!$C$1:$AC$1,cleanprovinces!$C$2:$AC$78,"no",0,1))</f>
        <v>33673</v>
      </c>
      <c r="I277" s="4">
        <f t="shared" si="13"/>
        <v>33673000000</v>
      </c>
      <c r="J277" s="3" cm="1">
        <f t="array" ref="J277">_xlfn.XLOOKUP(D277,[3]Sheet1!$B$2:$B$78,_xlfn.XLOOKUP(E277,[3]Sheet1!$C$1:$AC$1,[3]Sheet1!$C$2:$AC$78))</f>
        <v>929</v>
      </c>
      <c r="K277" s="3">
        <f t="shared" si="12"/>
        <v>929000</v>
      </c>
      <c r="L277" s="3">
        <f t="shared" si="14"/>
        <v>36246.501614639397</v>
      </c>
      <c r="M277" s="10">
        <v>103.820929320631</v>
      </c>
      <c r="N277" s="10">
        <v>17.388370013987402</v>
      </c>
    </row>
    <row r="278" spans="1:14" hidden="1" x14ac:dyDescent="0.3">
      <c r="A278" s="5">
        <v>24</v>
      </c>
      <c r="B278" s="5" t="str">
        <f>_xlfn.XLOOKUP(D278,'[1]Viirs77-Sol'!$C$2:$C$694,'[1]Viirs77-Sol'!$A$2:$A$694)</f>
        <v>TH-47</v>
      </c>
      <c r="C278" s="5" t="str">
        <f>_xlfn.XLOOKUP(D278,cleanprovinces!$B:$B,cleanprovinces!$A:$A)</f>
        <v>NE</v>
      </c>
      <c r="D278" s="5" t="s">
        <v>33</v>
      </c>
      <c r="E278" s="6">
        <v>2018</v>
      </c>
      <c r="F278" s="7" cm="1">
        <f t="array" ref="F278">_xlfn.XLOOKUP(D278&amp;E278,'[1]Viirs77-Sol'!$C$2:$C$694&amp;'[1]Viirs77-Sol'!$D$2:$D$694,'[1]Viirs77-Sol'!$E$2:$E$694)</f>
        <v>16173.589330000001</v>
      </c>
      <c r="G278" s="7" cm="1">
        <f t="array" ref="G278">_xlfn.XLOOKUP(B278&amp;E278,'[2]Viirs77-Mean'!$A$2:$A$694&amp;'[2]Viirs77-Mean'!$D$2:$D$694,'[2]Viirs77-Mean'!$E$2:$E$694)</f>
        <v>0.34553719599999999</v>
      </c>
      <c r="H278" s="9" cm="1">
        <f t="array" ref="H278">_xlfn.XLOOKUP(D278,cleanprovinces!$B$2:$B$78,_xlfn.XLOOKUP(panel!E278,cleanprovinces!$C$1:$AC$1,cleanprovinces!$C$2:$AC$78,"no",0,1))</f>
        <v>34790</v>
      </c>
      <c r="I278" s="4">
        <f t="shared" si="13"/>
        <v>34790000000</v>
      </c>
      <c r="J278" s="3" cm="1">
        <f t="array" ref="J278">_xlfn.XLOOKUP(D278,[3]Sheet1!$B$2:$B$78,_xlfn.XLOOKUP(E278,[3]Sheet1!$C$1:$AC$1,[3]Sheet1!$C$2:$AC$78))</f>
        <v>925</v>
      </c>
      <c r="K278" s="3">
        <f t="shared" si="12"/>
        <v>925000</v>
      </c>
      <c r="L278" s="3">
        <f t="shared" si="14"/>
        <v>37610.810810810814</v>
      </c>
      <c r="M278" s="10">
        <v>103.820929320631</v>
      </c>
      <c r="N278" s="10">
        <v>17.388370013987402</v>
      </c>
    </row>
    <row r="279" spans="1:14" hidden="1" x14ac:dyDescent="0.3">
      <c r="A279" s="5">
        <v>24</v>
      </c>
      <c r="B279" s="5" t="str">
        <f>_xlfn.XLOOKUP(D279,'[1]Viirs77-Sol'!$C$2:$C$694,'[1]Viirs77-Sol'!$A$2:$A$694)</f>
        <v>TH-47</v>
      </c>
      <c r="C279" s="5" t="str">
        <f>_xlfn.XLOOKUP(D279,cleanprovinces!$B:$B,cleanprovinces!$A:$A)</f>
        <v>NE</v>
      </c>
      <c r="D279" s="5" t="s">
        <v>33</v>
      </c>
      <c r="E279" s="6">
        <v>2019</v>
      </c>
      <c r="F279" s="7" cm="1">
        <f t="array" ref="F279">_xlfn.XLOOKUP(D279&amp;E279,'[1]Viirs77-Sol'!$C$2:$C$694&amp;'[1]Viirs77-Sol'!$D$2:$D$694,'[1]Viirs77-Sol'!$E$2:$E$694)</f>
        <v>16021.02072</v>
      </c>
      <c r="G279" s="7" cm="1">
        <f t="array" ref="G279">_xlfn.XLOOKUP(B279&amp;E279,'[2]Viirs77-Mean'!$A$2:$A$694&amp;'[2]Viirs77-Mean'!$D$2:$D$694,'[2]Viirs77-Mean'!$E$2:$E$694)</f>
        <v>0.34227767599999998</v>
      </c>
      <c r="H279" s="9" cm="1">
        <f t="array" ref="H279">_xlfn.XLOOKUP(D279,cleanprovinces!$B$2:$B$78,_xlfn.XLOOKUP(panel!E279,cleanprovinces!$C$1:$AC$1,cleanprovinces!$C$2:$AC$78,"no",0,1))</f>
        <v>34643</v>
      </c>
      <c r="I279" s="4">
        <f t="shared" si="13"/>
        <v>34643000000</v>
      </c>
      <c r="J279" s="3" cm="1">
        <f t="array" ref="J279">_xlfn.XLOOKUP(D279,[3]Sheet1!$B$2:$B$78,_xlfn.XLOOKUP(E279,[3]Sheet1!$C$1:$AC$1,[3]Sheet1!$C$2:$AC$78))</f>
        <v>922</v>
      </c>
      <c r="K279" s="3">
        <f t="shared" si="12"/>
        <v>922000</v>
      </c>
      <c r="L279" s="3">
        <f t="shared" si="14"/>
        <v>37573.752711496745</v>
      </c>
      <c r="M279" s="10">
        <v>103.820929320631</v>
      </c>
      <c r="N279" s="10">
        <v>17.388370013987402</v>
      </c>
    </row>
    <row r="280" spans="1:14" hidden="1" x14ac:dyDescent="0.3">
      <c r="A280" s="5">
        <v>24</v>
      </c>
      <c r="B280" s="5" t="str">
        <f>_xlfn.XLOOKUP(D280,'[1]Viirs77-Sol'!$C$2:$C$694,'[1]Viirs77-Sol'!$A$2:$A$694)</f>
        <v>TH-47</v>
      </c>
      <c r="C280" s="5" t="str">
        <f>_xlfn.XLOOKUP(D280,cleanprovinces!$B:$B,cleanprovinces!$A:$A)</f>
        <v>NE</v>
      </c>
      <c r="D280" s="5" t="s">
        <v>33</v>
      </c>
      <c r="E280" s="6">
        <v>2020</v>
      </c>
      <c r="F280" s="7" cm="1">
        <f t="array" ref="F280">_xlfn.XLOOKUP(D280&amp;E280,'[1]Viirs77-Sol'!$C$2:$C$694&amp;'[1]Viirs77-Sol'!$D$2:$D$694,'[1]Viirs77-Sol'!$E$2:$E$694)</f>
        <v>19978.183089999999</v>
      </c>
      <c r="G280" s="7" cm="1">
        <f t="array" ref="G280">_xlfn.XLOOKUP(B280&amp;E280,'[2]Viirs77-Mean'!$A$2:$A$694&amp;'[2]Viirs77-Mean'!$D$2:$D$694,'[2]Viirs77-Mean'!$E$2:$E$694)</f>
        <v>0.42681962699999998</v>
      </c>
      <c r="H280" s="9" cm="1">
        <f t="array" ref="H280">_xlfn.XLOOKUP(D280,cleanprovinces!$B$2:$B$78,_xlfn.XLOOKUP(panel!E280,cleanprovinces!$C$1:$AC$1,cleanprovinces!$C$2:$AC$78,"no",0,1))</f>
        <v>36375</v>
      </c>
      <c r="I280" s="4">
        <f t="shared" si="13"/>
        <v>36375000000</v>
      </c>
      <c r="J280" s="3" cm="1">
        <f t="array" ref="J280">_xlfn.XLOOKUP(D280,[3]Sheet1!$B$2:$B$78,_xlfn.XLOOKUP(E280,[3]Sheet1!$C$1:$AC$1,[3]Sheet1!$C$2:$AC$78))</f>
        <v>918</v>
      </c>
      <c r="K280" s="3">
        <f t="shared" si="12"/>
        <v>918000</v>
      </c>
      <c r="L280" s="3">
        <f t="shared" si="14"/>
        <v>39624.183006535946</v>
      </c>
      <c r="M280" s="10">
        <v>103.820929320631</v>
      </c>
      <c r="N280" s="10">
        <v>17.388370013987402</v>
      </c>
    </row>
    <row r="281" spans="1:14" hidden="1" x14ac:dyDescent="0.3">
      <c r="A281" s="5">
        <v>24</v>
      </c>
      <c r="B281" s="5" t="str">
        <f>_xlfn.XLOOKUP(D281,'[1]Viirs77-Sol'!$C$2:$C$694,'[1]Viirs77-Sol'!$A$2:$A$694)</f>
        <v>TH-47</v>
      </c>
      <c r="C281" s="5" t="str">
        <f>_xlfn.XLOOKUP(D281,cleanprovinces!$B:$B,cleanprovinces!$A:$A)</f>
        <v>NE</v>
      </c>
      <c r="D281" s="5" t="s">
        <v>33</v>
      </c>
      <c r="E281" s="6">
        <v>2021</v>
      </c>
      <c r="F281" s="7" cm="1">
        <f t="array" ref="F281">_xlfn.XLOOKUP(D281&amp;E281,'[1]Viirs77-Sol'!$C$2:$C$694&amp;'[1]Viirs77-Sol'!$D$2:$D$694,'[1]Viirs77-Sol'!$E$2:$E$694)</f>
        <v>25669.962360000001</v>
      </c>
      <c r="G281" s="7" cm="1">
        <f t="array" ref="G281">_xlfn.XLOOKUP(B281&amp;E281,'[2]Viirs77-Mean'!$A$2:$A$694&amp;'[2]Viirs77-Mean'!$D$2:$D$694,'[2]Viirs77-Mean'!$E$2:$E$694)</f>
        <v>0.54842042899999999</v>
      </c>
      <c r="H281" s="9" cm="1">
        <f t="array" ref="H281">_xlfn.XLOOKUP(D281,cleanprovinces!$B$2:$B$78,_xlfn.XLOOKUP(panel!E281,cleanprovinces!$C$1:$AC$1,cleanprovinces!$C$2:$AC$78,"no",0,1))</f>
        <v>37075</v>
      </c>
      <c r="I281" s="4">
        <f t="shared" si="13"/>
        <v>37075000000</v>
      </c>
      <c r="J281" s="3" cm="1">
        <f t="array" ref="J281">_xlfn.XLOOKUP(D281,[3]Sheet1!$B$2:$B$78,_xlfn.XLOOKUP(E281,[3]Sheet1!$C$1:$AC$1,[3]Sheet1!$C$2:$AC$78))</f>
        <v>914</v>
      </c>
      <c r="K281" s="3">
        <f t="shared" si="12"/>
        <v>914000</v>
      </c>
      <c r="L281" s="3">
        <f t="shared" si="14"/>
        <v>40563.457330415753</v>
      </c>
      <c r="M281" s="10">
        <v>103.820929320631</v>
      </c>
      <c r="N281" s="10">
        <v>17.388370013987402</v>
      </c>
    </row>
    <row r="282" spans="1:14" hidden="1" x14ac:dyDescent="0.3">
      <c r="A282" s="5">
        <v>12</v>
      </c>
      <c r="B282" s="5" t="str">
        <f>_xlfn.XLOOKUP(D282,'[1]Viirs77-Sol'!$C$2:$C$694,'[1]Viirs77-Sol'!$A$2:$A$694)</f>
        <v>TH-33</v>
      </c>
      <c r="C282" s="5" t="str">
        <f>_xlfn.XLOOKUP(D282,cleanprovinces!$B:$B,cleanprovinces!$A:$A)</f>
        <v>NE</v>
      </c>
      <c r="D282" s="5" t="s">
        <v>43</v>
      </c>
      <c r="E282" s="6">
        <v>2014</v>
      </c>
      <c r="F282" s="7" cm="1">
        <f t="array" ref="F282">_xlfn.XLOOKUP(D282&amp;E282,'[1]Viirs77-Sol'!$C$2:$C$694&amp;'[1]Viirs77-Sol'!$D$2:$D$694,'[1]Viirs77-Sol'!$E$2:$E$694)</f>
        <v>7733.9233519999998</v>
      </c>
      <c r="G282" s="7" cm="1">
        <f t="array" ref="G282">_xlfn.XLOOKUP(B282&amp;E282,'[2]Viirs77-Mean'!$A$2:$A$694&amp;'[2]Viirs77-Mean'!$D$2:$D$694,'[2]Viirs77-Mean'!$E$2:$E$694)</f>
        <v>0.17944766300000001</v>
      </c>
      <c r="H282" s="9" cm="1">
        <f t="array" ref="H282">_xlfn.XLOOKUP(D282,cleanprovinces!$B$2:$B$78,_xlfn.XLOOKUP(panel!E282,cleanprovinces!$C$1:$AC$1,cleanprovinces!$C$2:$AC$78,"no",0,1))</f>
        <v>36857</v>
      </c>
      <c r="I282" s="4">
        <f t="shared" si="13"/>
        <v>36857000000</v>
      </c>
      <c r="J282" s="3" cm="1">
        <f t="array" ref="J282">_xlfn.XLOOKUP(D282,[3]Sheet1!$B$2:$B$78,_xlfn.XLOOKUP(E282,[3]Sheet1!$C$1:$AC$1,[3]Sheet1!$C$2:$AC$78))</f>
        <v>1028</v>
      </c>
      <c r="K282" s="3">
        <f t="shared" si="12"/>
        <v>1028000</v>
      </c>
      <c r="L282" s="3">
        <f t="shared" si="14"/>
        <v>35853.112840466929</v>
      </c>
      <c r="M282" s="10">
        <v>104.378026497783</v>
      </c>
      <c r="N282" s="10">
        <v>14.8543353201608</v>
      </c>
    </row>
    <row r="283" spans="1:14" hidden="1" x14ac:dyDescent="0.3">
      <c r="A283" s="5">
        <v>12</v>
      </c>
      <c r="B283" s="5" t="str">
        <f>_xlfn.XLOOKUP(D283,'[1]Viirs77-Sol'!$C$2:$C$694,'[1]Viirs77-Sol'!$A$2:$A$694)</f>
        <v>TH-33</v>
      </c>
      <c r="C283" s="5" t="str">
        <f>_xlfn.XLOOKUP(D283,cleanprovinces!$B:$B,cleanprovinces!$A:$A)</f>
        <v>NE</v>
      </c>
      <c r="D283" s="5" t="s">
        <v>43</v>
      </c>
      <c r="E283" s="6">
        <v>2015</v>
      </c>
      <c r="F283" s="7" cm="1">
        <f t="array" ref="F283">_xlfn.XLOOKUP(D283&amp;E283,'[1]Viirs77-Sol'!$C$2:$C$694&amp;'[1]Viirs77-Sol'!$D$2:$D$694,'[1]Viirs77-Sol'!$E$2:$E$694)</f>
        <v>8701.8125799999998</v>
      </c>
      <c r="G283" s="7" cm="1">
        <f t="array" ref="G283">_xlfn.XLOOKUP(B283&amp;E283,'[2]Viirs77-Mean'!$A$2:$A$694&amp;'[2]Viirs77-Mean'!$D$2:$D$694,'[2]Viirs77-Mean'!$E$2:$E$694)</f>
        <v>0.20190527699999999</v>
      </c>
      <c r="H283" s="9" cm="1">
        <f t="array" ref="H283">_xlfn.XLOOKUP(D283,cleanprovinces!$B$2:$B$78,_xlfn.XLOOKUP(panel!E283,cleanprovinces!$C$1:$AC$1,cleanprovinces!$C$2:$AC$78,"no",0,1))</f>
        <v>38092</v>
      </c>
      <c r="I283" s="4">
        <f t="shared" si="13"/>
        <v>38092000000</v>
      </c>
      <c r="J283" s="3" cm="1">
        <f t="array" ref="J283">_xlfn.XLOOKUP(D283,[3]Sheet1!$B$2:$B$78,_xlfn.XLOOKUP(E283,[3]Sheet1!$C$1:$AC$1,[3]Sheet1!$C$2:$AC$78))</f>
        <v>1021</v>
      </c>
      <c r="K283" s="3">
        <f t="shared" si="12"/>
        <v>1021000</v>
      </c>
      <c r="L283" s="3">
        <f t="shared" si="14"/>
        <v>37308.521057786485</v>
      </c>
      <c r="M283" s="10">
        <v>104.378026497783</v>
      </c>
      <c r="N283" s="10">
        <v>14.8543353201608</v>
      </c>
    </row>
    <row r="284" spans="1:14" hidden="1" x14ac:dyDescent="0.3">
      <c r="A284" s="5">
        <v>12</v>
      </c>
      <c r="B284" s="5" t="str">
        <f>_xlfn.XLOOKUP(D284,'[1]Viirs77-Sol'!$C$2:$C$694,'[1]Viirs77-Sol'!$A$2:$A$694)</f>
        <v>TH-33</v>
      </c>
      <c r="C284" s="5" t="str">
        <f>_xlfn.XLOOKUP(D284,cleanprovinces!$B:$B,cleanprovinces!$A:$A)</f>
        <v>NE</v>
      </c>
      <c r="D284" s="5" t="s">
        <v>43</v>
      </c>
      <c r="E284" s="6">
        <v>2016</v>
      </c>
      <c r="F284" s="7" cm="1">
        <f t="array" ref="F284">_xlfn.XLOOKUP(D284&amp;E284,'[1]Viirs77-Sol'!$C$2:$C$694&amp;'[1]Viirs77-Sol'!$D$2:$D$694,'[1]Viirs77-Sol'!$E$2:$E$694)</f>
        <v>8823.0209290000003</v>
      </c>
      <c r="G284" s="7" cm="1">
        <f t="array" ref="G284">_xlfn.XLOOKUP(B284&amp;E284,'[2]Viirs77-Mean'!$A$2:$A$694&amp;'[2]Viirs77-Mean'!$D$2:$D$694,'[2]Viirs77-Mean'!$E$2:$E$694)</f>
        <v>0.20471763400000001</v>
      </c>
      <c r="H284" s="9" cm="1">
        <f t="array" ref="H284">_xlfn.XLOOKUP(D284,cleanprovinces!$B$2:$B$78,_xlfn.XLOOKUP(panel!E284,cleanprovinces!$C$1:$AC$1,cleanprovinces!$C$2:$AC$78,"no",0,1))</f>
        <v>39594</v>
      </c>
      <c r="I284" s="4">
        <f t="shared" si="13"/>
        <v>39594000000</v>
      </c>
      <c r="J284" s="3" cm="1">
        <f t="array" ref="J284">_xlfn.XLOOKUP(D284,[3]Sheet1!$B$2:$B$78,_xlfn.XLOOKUP(E284,[3]Sheet1!$C$1:$AC$1,[3]Sheet1!$C$2:$AC$78))</f>
        <v>1006</v>
      </c>
      <c r="K284" s="3">
        <f t="shared" si="12"/>
        <v>1006000</v>
      </c>
      <c r="L284" s="3">
        <f t="shared" si="14"/>
        <v>39357.852882703781</v>
      </c>
      <c r="M284" s="10">
        <v>104.378026497783</v>
      </c>
      <c r="N284" s="10">
        <v>14.8543353201608</v>
      </c>
    </row>
    <row r="285" spans="1:14" hidden="1" x14ac:dyDescent="0.3">
      <c r="A285" s="5">
        <v>12</v>
      </c>
      <c r="B285" s="5" t="str">
        <f>_xlfn.XLOOKUP(D285,'[1]Viirs77-Sol'!$C$2:$C$694,'[1]Viirs77-Sol'!$A$2:$A$694)</f>
        <v>TH-33</v>
      </c>
      <c r="C285" s="5" t="str">
        <f>_xlfn.XLOOKUP(D285,cleanprovinces!$B:$B,cleanprovinces!$A:$A)</f>
        <v>NE</v>
      </c>
      <c r="D285" s="5" t="s">
        <v>43</v>
      </c>
      <c r="E285" s="6">
        <v>2017</v>
      </c>
      <c r="F285" s="7" cm="1">
        <f t="array" ref="F285">_xlfn.XLOOKUP(D285&amp;E285,'[1]Viirs77-Sol'!$C$2:$C$694&amp;'[1]Viirs77-Sol'!$D$2:$D$694,'[1]Viirs77-Sol'!$E$2:$E$694)</f>
        <v>13000.913629999999</v>
      </c>
      <c r="G285" s="7" cm="1">
        <f t="array" ref="G285">_xlfn.XLOOKUP(B285&amp;E285,'[2]Viirs77-Mean'!$A$2:$A$694&amp;'[2]Viirs77-Mean'!$D$2:$D$694,'[2]Viirs77-Mean'!$E$2:$E$694)</f>
        <v>0.30165589500000001</v>
      </c>
      <c r="H285" s="9" cm="1">
        <f t="array" ref="H285">_xlfn.XLOOKUP(D285,cleanprovinces!$B$2:$B$78,_xlfn.XLOOKUP(panel!E285,cleanprovinces!$C$1:$AC$1,cleanprovinces!$C$2:$AC$78,"no",0,1))</f>
        <v>40842</v>
      </c>
      <c r="I285" s="4">
        <f t="shared" si="13"/>
        <v>40842000000</v>
      </c>
      <c r="J285" s="3" cm="1">
        <f t="array" ref="J285">_xlfn.XLOOKUP(D285,[3]Sheet1!$B$2:$B$78,_xlfn.XLOOKUP(E285,[3]Sheet1!$C$1:$AC$1,[3]Sheet1!$C$2:$AC$78))</f>
        <v>993</v>
      </c>
      <c r="K285" s="3">
        <f t="shared" si="12"/>
        <v>993000</v>
      </c>
      <c r="L285" s="3">
        <f t="shared" si="14"/>
        <v>41129.909365558909</v>
      </c>
      <c r="M285" s="10">
        <v>104.378026497783</v>
      </c>
      <c r="N285" s="10">
        <v>14.8543353201608</v>
      </c>
    </row>
    <row r="286" spans="1:14" hidden="1" x14ac:dyDescent="0.3">
      <c r="A286" s="5">
        <v>12</v>
      </c>
      <c r="B286" s="5" t="str">
        <f>_xlfn.XLOOKUP(D286,'[1]Viirs77-Sol'!$C$2:$C$694,'[1]Viirs77-Sol'!$A$2:$A$694)</f>
        <v>TH-33</v>
      </c>
      <c r="C286" s="5" t="str">
        <f>_xlfn.XLOOKUP(D286,cleanprovinces!$B:$B,cleanprovinces!$A:$A)</f>
        <v>NE</v>
      </c>
      <c r="D286" s="5" t="s">
        <v>43</v>
      </c>
      <c r="E286" s="6">
        <v>2018</v>
      </c>
      <c r="F286" s="7" cm="1">
        <f t="array" ref="F286">_xlfn.XLOOKUP(D286&amp;E286,'[1]Viirs77-Sol'!$C$2:$C$694&amp;'[1]Viirs77-Sol'!$D$2:$D$694,'[1]Viirs77-Sol'!$E$2:$E$694)</f>
        <v>14653.324210000001</v>
      </c>
      <c r="G286" s="7" cm="1">
        <f t="array" ref="G286">_xlfn.XLOOKUP(B286&amp;E286,'[2]Viirs77-Mean'!$A$2:$A$694&amp;'[2]Viirs77-Mean'!$D$2:$D$694,'[2]Viirs77-Mean'!$E$2:$E$694)</f>
        <v>0.33999623000000001</v>
      </c>
      <c r="H286" s="9" cm="1">
        <f t="array" ref="H286">_xlfn.XLOOKUP(D286,cleanprovinces!$B$2:$B$78,_xlfn.XLOOKUP(panel!E286,cleanprovinces!$C$1:$AC$1,cleanprovinces!$C$2:$AC$78,"no",0,1))</f>
        <v>41807</v>
      </c>
      <c r="I286" s="4">
        <f t="shared" si="13"/>
        <v>41807000000</v>
      </c>
      <c r="J286" s="3" cm="1">
        <f t="array" ref="J286">_xlfn.XLOOKUP(D286,[3]Sheet1!$B$2:$B$78,_xlfn.XLOOKUP(E286,[3]Sheet1!$C$1:$AC$1,[3]Sheet1!$C$2:$AC$78))</f>
        <v>980</v>
      </c>
      <c r="K286" s="3">
        <f t="shared" si="12"/>
        <v>980000</v>
      </c>
      <c r="L286" s="3">
        <f t="shared" si="14"/>
        <v>42660.204081632655</v>
      </c>
      <c r="M286" s="10">
        <v>104.378026497783</v>
      </c>
      <c r="N286" s="10">
        <v>14.8543353201608</v>
      </c>
    </row>
    <row r="287" spans="1:14" hidden="1" x14ac:dyDescent="0.3">
      <c r="A287" s="5">
        <v>12</v>
      </c>
      <c r="B287" s="5" t="str">
        <f>_xlfn.XLOOKUP(D287,'[1]Viirs77-Sol'!$C$2:$C$694,'[1]Viirs77-Sol'!$A$2:$A$694)</f>
        <v>TH-33</v>
      </c>
      <c r="C287" s="5" t="str">
        <f>_xlfn.XLOOKUP(D287,cleanprovinces!$B:$B,cleanprovinces!$A:$A)</f>
        <v>NE</v>
      </c>
      <c r="D287" s="5" t="s">
        <v>43</v>
      </c>
      <c r="E287" s="6">
        <v>2019</v>
      </c>
      <c r="F287" s="7" cm="1">
        <f t="array" ref="F287">_xlfn.XLOOKUP(D287&amp;E287,'[1]Viirs77-Sol'!$C$2:$C$694&amp;'[1]Viirs77-Sol'!$D$2:$D$694,'[1]Viirs77-Sol'!$E$2:$E$694)</f>
        <v>15710.41697</v>
      </c>
      <c r="G287" s="7" cm="1">
        <f t="array" ref="G287">_xlfn.XLOOKUP(B287&amp;E287,'[2]Viirs77-Mean'!$A$2:$A$694&amp;'[2]Viirs77-Mean'!$D$2:$D$694,'[2]Viirs77-Mean'!$E$2:$E$694)</f>
        <v>0.364523604</v>
      </c>
      <c r="H287" s="9" cm="1">
        <f t="array" ref="H287">_xlfn.XLOOKUP(D287,cleanprovinces!$B$2:$B$78,_xlfn.XLOOKUP(panel!E287,cleanprovinces!$C$1:$AC$1,cleanprovinces!$C$2:$AC$78,"no",0,1))</f>
        <v>40061</v>
      </c>
      <c r="I287" s="4">
        <f t="shared" si="13"/>
        <v>40061000000</v>
      </c>
      <c r="J287" s="3" cm="1">
        <f t="array" ref="J287">_xlfn.XLOOKUP(D287,[3]Sheet1!$B$2:$B$78,_xlfn.XLOOKUP(E287,[3]Sheet1!$C$1:$AC$1,[3]Sheet1!$C$2:$AC$78))</f>
        <v>968</v>
      </c>
      <c r="K287" s="3">
        <f t="shared" si="12"/>
        <v>968000</v>
      </c>
      <c r="L287" s="3">
        <f t="shared" si="14"/>
        <v>41385.330578512396</v>
      </c>
      <c r="M287" s="10">
        <v>104.378026497783</v>
      </c>
      <c r="N287" s="10">
        <v>14.8543353201608</v>
      </c>
    </row>
    <row r="288" spans="1:14" hidden="1" x14ac:dyDescent="0.3">
      <c r="A288" s="5">
        <v>12</v>
      </c>
      <c r="B288" s="5" t="str">
        <f>_xlfn.XLOOKUP(D288,'[1]Viirs77-Sol'!$C$2:$C$694,'[1]Viirs77-Sol'!$A$2:$A$694)</f>
        <v>TH-33</v>
      </c>
      <c r="C288" s="5" t="str">
        <f>_xlfn.XLOOKUP(D288,cleanprovinces!$B:$B,cleanprovinces!$A:$A)</f>
        <v>NE</v>
      </c>
      <c r="D288" s="5" t="s">
        <v>43</v>
      </c>
      <c r="E288" s="6">
        <v>2020</v>
      </c>
      <c r="F288" s="7" cm="1">
        <f t="array" ref="F288">_xlfn.XLOOKUP(D288&amp;E288,'[1]Viirs77-Sol'!$C$2:$C$694&amp;'[1]Viirs77-Sol'!$D$2:$D$694,'[1]Viirs77-Sol'!$E$2:$E$694)</f>
        <v>18870.270219999999</v>
      </c>
      <c r="G288" s="7" cm="1">
        <f t="array" ref="G288">_xlfn.XLOOKUP(B288&amp;E288,'[2]Viirs77-Mean'!$A$2:$A$694&amp;'[2]Viirs77-Mean'!$D$2:$D$694,'[2]Viirs77-Mean'!$E$2:$E$694)</f>
        <v>0.43784063299999998</v>
      </c>
      <c r="H288" s="9" cm="1">
        <f t="array" ref="H288">_xlfn.XLOOKUP(D288,cleanprovinces!$B$2:$B$78,_xlfn.XLOOKUP(panel!E288,cleanprovinces!$C$1:$AC$1,cleanprovinces!$C$2:$AC$78,"no",0,1))</f>
        <v>41947</v>
      </c>
      <c r="I288" s="4">
        <f t="shared" si="13"/>
        <v>41947000000</v>
      </c>
      <c r="J288" s="3" cm="1">
        <f t="array" ref="J288">_xlfn.XLOOKUP(D288,[3]Sheet1!$B$2:$B$78,_xlfn.XLOOKUP(E288,[3]Sheet1!$C$1:$AC$1,[3]Sheet1!$C$2:$AC$78))</f>
        <v>956</v>
      </c>
      <c r="K288" s="3">
        <f t="shared" si="12"/>
        <v>956000</v>
      </c>
      <c r="L288" s="3">
        <f t="shared" si="14"/>
        <v>43877.615062761506</v>
      </c>
      <c r="M288" s="10">
        <v>104.378026497783</v>
      </c>
      <c r="N288" s="10">
        <v>14.8543353201608</v>
      </c>
    </row>
    <row r="289" spans="1:14" hidden="1" x14ac:dyDescent="0.3">
      <c r="A289" s="5">
        <v>12</v>
      </c>
      <c r="B289" s="5" t="str">
        <f>_xlfn.XLOOKUP(D289,'[1]Viirs77-Sol'!$C$2:$C$694,'[1]Viirs77-Sol'!$A$2:$A$694)</f>
        <v>TH-33</v>
      </c>
      <c r="C289" s="5" t="str">
        <f>_xlfn.XLOOKUP(D289,cleanprovinces!$B:$B,cleanprovinces!$A:$A)</f>
        <v>NE</v>
      </c>
      <c r="D289" s="5" t="s">
        <v>43</v>
      </c>
      <c r="E289" s="6">
        <v>2021</v>
      </c>
      <c r="F289" s="7" cm="1">
        <f t="array" ref="F289">_xlfn.XLOOKUP(D289&amp;E289,'[1]Viirs77-Sol'!$C$2:$C$694&amp;'[1]Viirs77-Sol'!$D$2:$D$694,'[1]Viirs77-Sol'!$E$2:$E$694)</f>
        <v>22985.570449999999</v>
      </c>
      <c r="G289" s="7" cm="1">
        <f t="array" ref="G289">_xlfn.XLOOKUP(B289&amp;E289,'[2]Viirs77-Mean'!$A$2:$A$694&amp;'[2]Viirs77-Mean'!$D$2:$D$694,'[2]Viirs77-Mean'!$E$2:$E$694)</f>
        <v>0.53332658200000005</v>
      </c>
      <c r="H289" s="9" cm="1">
        <f t="array" ref="H289">_xlfn.XLOOKUP(D289,cleanprovinces!$B$2:$B$78,_xlfn.XLOOKUP(panel!E289,cleanprovinces!$C$1:$AC$1,cleanprovinces!$C$2:$AC$78,"no",0,1))</f>
        <v>42648</v>
      </c>
      <c r="I289" s="4">
        <f t="shared" si="13"/>
        <v>42648000000</v>
      </c>
      <c r="J289" s="3" cm="1">
        <f t="array" ref="J289">_xlfn.XLOOKUP(D289,[3]Sheet1!$B$2:$B$78,_xlfn.XLOOKUP(E289,[3]Sheet1!$C$1:$AC$1,[3]Sheet1!$C$2:$AC$78))</f>
        <v>944</v>
      </c>
      <c r="K289" s="3">
        <f t="shared" si="12"/>
        <v>944000</v>
      </c>
      <c r="L289" s="3">
        <f t="shared" si="14"/>
        <v>45177.966101694918</v>
      </c>
      <c r="M289" s="10">
        <v>104.378026497783</v>
      </c>
      <c r="N289" s="10">
        <v>14.8543353201608</v>
      </c>
    </row>
    <row r="290" spans="1:14" hidden="1" x14ac:dyDescent="0.3">
      <c r="A290" s="5">
        <v>5</v>
      </c>
      <c r="B290" s="5" t="str">
        <f>_xlfn.XLOOKUP(D290,'[1]Viirs77-Sol'!$C$2:$C$694,'[1]Viirs77-Sol'!$A$2:$A$694)</f>
        <v>TH-32</v>
      </c>
      <c r="C290" s="5" t="str">
        <f>_xlfn.XLOOKUP(D290,cleanprovinces!$B:$B,cleanprovinces!$A:$A)</f>
        <v>NE</v>
      </c>
      <c r="D290" s="5" t="s">
        <v>41</v>
      </c>
      <c r="E290" s="6">
        <v>2014</v>
      </c>
      <c r="F290" s="7" cm="1">
        <f t="array" ref="F290">_xlfn.XLOOKUP(D290&amp;E290,'[1]Viirs77-Sol'!$C$2:$C$694&amp;'[1]Viirs77-Sol'!$D$2:$D$694,'[1]Viirs77-Sol'!$E$2:$E$694)</f>
        <v>7725.2210219999997</v>
      </c>
      <c r="G290" s="7" cm="1">
        <f t="array" ref="G290">_xlfn.XLOOKUP(B290&amp;E290,'[2]Viirs77-Mean'!$A$2:$A$694&amp;'[2]Viirs77-Mean'!$D$2:$D$694,'[2]Viirs77-Mean'!$E$2:$E$694)</f>
        <v>0.18301540799999999</v>
      </c>
      <c r="H290" s="9" cm="1">
        <f t="array" ref="H290">_xlfn.XLOOKUP(D290,cleanprovinces!$B$2:$B$78,_xlfn.XLOOKUP(panel!E290,cleanprovinces!$C$1:$AC$1,cleanprovinces!$C$2:$AC$78,"no",0,1))</f>
        <v>40482</v>
      </c>
      <c r="I290" s="4">
        <f t="shared" si="13"/>
        <v>40482000000</v>
      </c>
      <c r="J290" s="3" cm="1">
        <f t="array" ref="J290">_xlfn.XLOOKUP(D290,[3]Sheet1!$B$2:$B$78,_xlfn.XLOOKUP(E290,[3]Sheet1!$C$1:$AC$1,[3]Sheet1!$C$2:$AC$78))</f>
        <v>1106</v>
      </c>
      <c r="K290" s="3">
        <f t="shared" si="12"/>
        <v>1106000</v>
      </c>
      <c r="L290" s="3">
        <f t="shared" si="14"/>
        <v>36602.169981916821</v>
      </c>
      <c r="M290" s="10">
        <v>103.662385150925</v>
      </c>
      <c r="N290" s="10">
        <v>14.888681501541701</v>
      </c>
    </row>
    <row r="291" spans="1:14" hidden="1" x14ac:dyDescent="0.3">
      <c r="A291" s="5">
        <v>5</v>
      </c>
      <c r="B291" s="5" t="str">
        <f>_xlfn.XLOOKUP(D291,'[1]Viirs77-Sol'!$C$2:$C$694,'[1]Viirs77-Sol'!$A$2:$A$694)</f>
        <v>TH-32</v>
      </c>
      <c r="C291" s="5" t="str">
        <f>_xlfn.XLOOKUP(D291,cleanprovinces!$B:$B,cleanprovinces!$A:$A)</f>
        <v>NE</v>
      </c>
      <c r="D291" s="5" t="s">
        <v>41</v>
      </c>
      <c r="E291" s="6">
        <v>2015</v>
      </c>
      <c r="F291" s="7" cm="1">
        <f t="array" ref="F291">_xlfn.XLOOKUP(D291&amp;E291,'[1]Viirs77-Sol'!$C$2:$C$694&amp;'[1]Viirs77-Sol'!$D$2:$D$694,'[1]Viirs77-Sol'!$E$2:$E$694)</f>
        <v>9159.9187729999994</v>
      </c>
      <c r="G291" s="7" cm="1">
        <f t="array" ref="G291">_xlfn.XLOOKUP(B291&amp;E291,'[2]Viirs77-Mean'!$A$2:$A$694&amp;'[2]Viirs77-Mean'!$D$2:$D$694,'[2]Viirs77-Mean'!$E$2:$E$694)</f>
        <v>0.21700431100000001</v>
      </c>
      <c r="H291" s="9" cm="1">
        <f t="array" ref="H291">_xlfn.XLOOKUP(D291,cleanprovinces!$B$2:$B$78,_xlfn.XLOOKUP(panel!E291,cleanprovinces!$C$1:$AC$1,cleanprovinces!$C$2:$AC$78,"no",0,1))</f>
        <v>42506</v>
      </c>
      <c r="I291" s="4">
        <f t="shared" si="13"/>
        <v>42506000000</v>
      </c>
      <c r="J291" s="3" cm="1">
        <f t="array" ref="J291">_xlfn.XLOOKUP(D291,[3]Sheet1!$B$2:$B$78,_xlfn.XLOOKUP(E291,[3]Sheet1!$C$1:$AC$1,[3]Sheet1!$C$2:$AC$78))</f>
        <v>1101</v>
      </c>
      <c r="K291" s="3">
        <f t="shared" si="12"/>
        <v>1101000</v>
      </c>
      <c r="L291" s="3">
        <f t="shared" si="14"/>
        <v>38606.721162579473</v>
      </c>
      <c r="M291" s="10">
        <v>103.662385150925</v>
      </c>
      <c r="N291" s="10">
        <v>14.888681501541701</v>
      </c>
    </row>
    <row r="292" spans="1:14" hidden="1" x14ac:dyDescent="0.3">
      <c r="A292" s="5">
        <v>5</v>
      </c>
      <c r="B292" s="5" t="str">
        <f>_xlfn.XLOOKUP(D292,'[1]Viirs77-Sol'!$C$2:$C$694,'[1]Viirs77-Sol'!$A$2:$A$694)</f>
        <v>TH-32</v>
      </c>
      <c r="C292" s="5" t="str">
        <f>_xlfn.XLOOKUP(D292,cleanprovinces!$B:$B,cleanprovinces!$A:$A)</f>
        <v>NE</v>
      </c>
      <c r="D292" s="5" t="s">
        <v>41</v>
      </c>
      <c r="E292" s="6">
        <v>2016</v>
      </c>
      <c r="F292" s="7" cm="1">
        <f t="array" ref="F292">_xlfn.XLOOKUP(D292&amp;E292,'[1]Viirs77-Sol'!$C$2:$C$694&amp;'[1]Viirs77-Sol'!$D$2:$D$694,'[1]Viirs77-Sol'!$E$2:$E$694)</f>
        <v>9948.6075980000005</v>
      </c>
      <c r="G292" s="7" cm="1">
        <f t="array" ref="G292">_xlfn.XLOOKUP(B292&amp;E292,'[2]Viirs77-Mean'!$A$2:$A$694&amp;'[2]Viirs77-Mean'!$D$2:$D$694,'[2]Viirs77-Mean'!$E$2:$E$694)</f>
        <v>0.235688852</v>
      </c>
      <c r="H292" s="9" cm="1">
        <f t="array" ref="H292">_xlfn.XLOOKUP(D292,cleanprovinces!$B$2:$B$78,_xlfn.XLOOKUP(panel!E292,cleanprovinces!$C$1:$AC$1,cleanprovinces!$C$2:$AC$78,"no",0,1))</f>
        <v>43551</v>
      </c>
      <c r="I292" s="4">
        <f t="shared" si="13"/>
        <v>43551000000</v>
      </c>
      <c r="J292" s="3" cm="1">
        <f t="array" ref="J292">_xlfn.XLOOKUP(D292,[3]Sheet1!$B$2:$B$78,_xlfn.XLOOKUP(E292,[3]Sheet1!$C$1:$AC$1,[3]Sheet1!$C$2:$AC$78))</f>
        <v>1092</v>
      </c>
      <c r="K292" s="3">
        <f t="shared" si="12"/>
        <v>1092000</v>
      </c>
      <c r="L292" s="3">
        <f t="shared" si="14"/>
        <v>39881.868131868134</v>
      </c>
      <c r="M292" s="10">
        <v>103.662385150925</v>
      </c>
      <c r="N292" s="10">
        <v>14.888681501541701</v>
      </c>
    </row>
    <row r="293" spans="1:14" hidden="1" x14ac:dyDescent="0.3">
      <c r="A293" s="5">
        <v>5</v>
      </c>
      <c r="B293" s="5" t="str">
        <f>_xlfn.XLOOKUP(D293,'[1]Viirs77-Sol'!$C$2:$C$694,'[1]Viirs77-Sol'!$A$2:$A$694)</f>
        <v>TH-32</v>
      </c>
      <c r="C293" s="5" t="str">
        <f>_xlfn.XLOOKUP(D293,cleanprovinces!$B:$B,cleanprovinces!$A:$A)</f>
        <v>NE</v>
      </c>
      <c r="D293" s="5" t="s">
        <v>41</v>
      </c>
      <c r="E293" s="6">
        <v>2017</v>
      </c>
      <c r="F293" s="7" cm="1">
        <f t="array" ref="F293">_xlfn.XLOOKUP(D293&amp;E293,'[1]Viirs77-Sol'!$C$2:$C$694&amp;'[1]Viirs77-Sol'!$D$2:$D$694,'[1]Viirs77-Sol'!$E$2:$E$694)</f>
        <v>13942.40799</v>
      </c>
      <c r="G293" s="7" cm="1">
        <f t="array" ref="G293">_xlfn.XLOOKUP(B293&amp;E293,'[2]Viirs77-Mean'!$A$2:$A$694&amp;'[2]Viirs77-Mean'!$D$2:$D$694,'[2]Viirs77-Mean'!$E$2:$E$694)</f>
        <v>0.33030452799999999</v>
      </c>
      <c r="H293" s="9" cm="1">
        <f t="array" ref="H293">_xlfn.XLOOKUP(D293,cleanprovinces!$B$2:$B$78,_xlfn.XLOOKUP(panel!E293,cleanprovinces!$C$1:$AC$1,cleanprovinces!$C$2:$AC$78,"no",0,1))</f>
        <v>44598</v>
      </c>
      <c r="I293" s="4">
        <f t="shared" si="13"/>
        <v>44598000000</v>
      </c>
      <c r="J293" s="3" cm="1">
        <f t="array" ref="J293">_xlfn.XLOOKUP(D293,[3]Sheet1!$B$2:$B$78,_xlfn.XLOOKUP(E293,[3]Sheet1!$C$1:$AC$1,[3]Sheet1!$C$2:$AC$78))</f>
        <v>1084</v>
      </c>
      <c r="K293" s="3">
        <f t="shared" si="12"/>
        <v>1084000</v>
      </c>
      <c r="L293" s="3">
        <f t="shared" si="14"/>
        <v>41142.066420664203</v>
      </c>
      <c r="M293" s="10">
        <v>103.662385150925</v>
      </c>
      <c r="N293" s="10">
        <v>14.888681501541701</v>
      </c>
    </row>
    <row r="294" spans="1:14" hidden="1" x14ac:dyDescent="0.3">
      <c r="A294" s="5">
        <v>5</v>
      </c>
      <c r="B294" s="5" t="str">
        <f>_xlfn.XLOOKUP(D294,'[1]Viirs77-Sol'!$C$2:$C$694,'[1]Viirs77-Sol'!$A$2:$A$694)</f>
        <v>TH-32</v>
      </c>
      <c r="C294" s="5" t="str">
        <f>_xlfn.XLOOKUP(D294,cleanprovinces!$B:$B,cleanprovinces!$A:$A)</f>
        <v>NE</v>
      </c>
      <c r="D294" s="5" t="s">
        <v>41</v>
      </c>
      <c r="E294" s="6">
        <v>2018</v>
      </c>
      <c r="F294" s="7" cm="1">
        <f t="array" ref="F294">_xlfn.XLOOKUP(D294&amp;E294,'[1]Viirs77-Sol'!$C$2:$C$694&amp;'[1]Viirs77-Sol'!$D$2:$D$694,'[1]Viirs77-Sol'!$E$2:$E$694)</f>
        <v>15899.12674</v>
      </c>
      <c r="G294" s="7" cm="1">
        <f t="array" ref="G294">_xlfn.XLOOKUP(B294&amp;E294,'[2]Viirs77-Mean'!$A$2:$A$694&amp;'[2]Viirs77-Mean'!$D$2:$D$694,'[2]Viirs77-Mean'!$E$2:$E$694)</f>
        <v>0.37666044100000001</v>
      </c>
      <c r="H294" s="9" cm="1">
        <f t="array" ref="H294">_xlfn.XLOOKUP(D294,cleanprovinces!$B$2:$B$78,_xlfn.XLOOKUP(panel!E294,cleanprovinces!$C$1:$AC$1,cleanprovinces!$C$2:$AC$78,"no",0,1))</f>
        <v>47496</v>
      </c>
      <c r="I294" s="4">
        <f t="shared" si="13"/>
        <v>47496000000</v>
      </c>
      <c r="J294" s="3" cm="1">
        <f t="array" ref="J294">_xlfn.XLOOKUP(D294,[3]Sheet1!$B$2:$B$78,_xlfn.XLOOKUP(E294,[3]Sheet1!$C$1:$AC$1,[3]Sheet1!$C$2:$AC$78))</f>
        <v>1076</v>
      </c>
      <c r="K294" s="3">
        <f t="shared" si="12"/>
        <v>1076000</v>
      </c>
      <c r="L294" s="3">
        <f t="shared" si="14"/>
        <v>44141.263940520446</v>
      </c>
      <c r="M294" s="10">
        <v>103.662385150925</v>
      </c>
      <c r="N294" s="10">
        <v>14.888681501541701</v>
      </c>
    </row>
    <row r="295" spans="1:14" hidden="1" x14ac:dyDescent="0.3">
      <c r="A295" s="5">
        <v>5</v>
      </c>
      <c r="B295" s="5" t="str">
        <f>_xlfn.XLOOKUP(D295,'[1]Viirs77-Sol'!$C$2:$C$694,'[1]Viirs77-Sol'!$A$2:$A$694)</f>
        <v>TH-32</v>
      </c>
      <c r="C295" s="5" t="str">
        <f>_xlfn.XLOOKUP(D295,cleanprovinces!$B:$B,cleanprovinces!$A:$A)</f>
        <v>NE</v>
      </c>
      <c r="D295" s="5" t="s">
        <v>41</v>
      </c>
      <c r="E295" s="6">
        <v>2019</v>
      </c>
      <c r="F295" s="7" cm="1">
        <f t="array" ref="F295">_xlfn.XLOOKUP(D295&amp;E295,'[1]Viirs77-Sol'!$C$2:$C$694&amp;'[1]Viirs77-Sol'!$D$2:$D$694,'[1]Viirs77-Sol'!$E$2:$E$694)</f>
        <v>17027.123390000001</v>
      </c>
      <c r="G295" s="7" cm="1">
        <f t="array" ref="G295">_xlfn.XLOOKUP(B295&amp;E295,'[2]Viirs77-Mean'!$A$2:$A$694&amp;'[2]Viirs77-Mean'!$D$2:$D$694,'[2]Viirs77-Mean'!$E$2:$E$694)</f>
        <v>0.40338340099999997</v>
      </c>
      <c r="H295" s="9" cm="1">
        <f t="array" ref="H295">_xlfn.XLOOKUP(D295,cleanprovinces!$B$2:$B$78,_xlfn.XLOOKUP(panel!E295,cleanprovinces!$C$1:$AC$1,cleanprovinces!$C$2:$AC$78,"no",0,1))</f>
        <v>47208</v>
      </c>
      <c r="I295" s="4">
        <f t="shared" si="13"/>
        <v>47208000000</v>
      </c>
      <c r="J295" s="3" cm="1">
        <f t="array" ref="J295">_xlfn.XLOOKUP(D295,[3]Sheet1!$B$2:$B$78,_xlfn.XLOOKUP(E295,[3]Sheet1!$C$1:$AC$1,[3]Sheet1!$C$2:$AC$78))</f>
        <v>1067</v>
      </c>
      <c r="K295" s="3">
        <f t="shared" si="12"/>
        <v>1067000</v>
      </c>
      <c r="L295" s="3">
        <f t="shared" si="14"/>
        <v>44243.673851921274</v>
      </c>
      <c r="M295" s="10">
        <v>103.662385150925</v>
      </c>
      <c r="N295" s="10">
        <v>14.888681501541701</v>
      </c>
    </row>
    <row r="296" spans="1:14" hidden="1" x14ac:dyDescent="0.3">
      <c r="A296" s="5">
        <v>5</v>
      </c>
      <c r="B296" s="5" t="str">
        <f>_xlfn.XLOOKUP(D296,'[1]Viirs77-Sol'!$C$2:$C$694,'[1]Viirs77-Sol'!$A$2:$A$694)</f>
        <v>TH-32</v>
      </c>
      <c r="C296" s="5" t="str">
        <f>_xlfn.XLOOKUP(D296,cleanprovinces!$B:$B,cleanprovinces!$A:$A)</f>
        <v>NE</v>
      </c>
      <c r="D296" s="5" t="s">
        <v>41</v>
      </c>
      <c r="E296" s="6">
        <v>2020</v>
      </c>
      <c r="F296" s="7" cm="1">
        <f t="array" ref="F296">_xlfn.XLOOKUP(D296&amp;E296,'[1]Viirs77-Sol'!$C$2:$C$694&amp;'[1]Viirs77-Sol'!$D$2:$D$694,'[1]Viirs77-Sol'!$E$2:$E$694)</f>
        <v>18559.42901</v>
      </c>
      <c r="G296" s="7" cm="1">
        <f t="array" ref="G296">_xlfn.XLOOKUP(B296&amp;E296,'[2]Viirs77-Mean'!$A$2:$A$694&amp;'[2]Viirs77-Mean'!$D$2:$D$694,'[2]Viirs77-Mean'!$E$2:$E$694)</f>
        <v>0.43968469700000001</v>
      </c>
      <c r="H296" s="9" cm="1">
        <f t="array" ref="H296">_xlfn.XLOOKUP(D296,cleanprovinces!$B$2:$B$78,_xlfn.XLOOKUP(panel!E296,cleanprovinces!$C$1:$AC$1,cleanprovinces!$C$2:$AC$78,"no",0,1))</f>
        <v>49255</v>
      </c>
      <c r="I296" s="4">
        <f t="shared" si="13"/>
        <v>49255000000</v>
      </c>
      <c r="J296" s="3" cm="1">
        <f t="array" ref="J296">_xlfn.XLOOKUP(D296,[3]Sheet1!$B$2:$B$78,_xlfn.XLOOKUP(E296,[3]Sheet1!$C$1:$AC$1,[3]Sheet1!$C$2:$AC$78))</f>
        <v>1058</v>
      </c>
      <c r="K296" s="3">
        <f t="shared" si="12"/>
        <v>1058000</v>
      </c>
      <c r="L296" s="3">
        <f t="shared" si="14"/>
        <v>46554.820415879018</v>
      </c>
      <c r="M296" s="10">
        <v>103.662385150925</v>
      </c>
      <c r="N296" s="10">
        <v>14.888681501541701</v>
      </c>
    </row>
    <row r="297" spans="1:14" hidden="1" x14ac:dyDescent="0.3">
      <c r="A297" s="5">
        <v>5</v>
      </c>
      <c r="B297" s="5" t="str">
        <f>_xlfn.XLOOKUP(D297,'[1]Viirs77-Sol'!$C$2:$C$694,'[1]Viirs77-Sol'!$A$2:$A$694)</f>
        <v>TH-32</v>
      </c>
      <c r="C297" s="5" t="str">
        <f>_xlfn.XLOOKUP(D297,cleanprovinces!$B:$B,cleanprovinces!$A:$A)</f>
        <v>NE</v>
      </c>
      <c r="D297" s="5" t="s">
        <v>41</v>
      </c>
      <c r="E297" s="6">
        <v>2021</v>
      </c>
      <c r="F297" s="7" cm="1">
        <f t="array" ref="F297">_xlfn.XLOOKUP(D297&amp;E297,'[1]Viirs77-Sol'!$C$2:$C$694&amp;'[1]Viirs77-Sol'!$D$2:$D$694,'[1]Viirs77-Sol'!$E$2:$E$694)</f>
        <v>22285.360570000001</v>
      </c>
      <c r="G297" s="7" cm="1">
        <f t="array" ref="G297">_xlfn.XLOOKUP(B297&amp;E297,'[2]Viirs77-Mean'!$A$2:$A$694&amp;'[2]Viirs77-Mean'!$D$2:$D$694,'[2]Viirs77-Mean'!$E$2:$E$694)</f>
        <v>0.52795438900000002</v>
      </c>
      <c r="H297" s="9" cm="1">
        <f t="array" ref="H297">_xlfn.XLOOKUP(D297,cleanprovinces!$B$2:$B$78,_xlfn.XLOOKUP(panel!E297,cleanprovinces!$C$1:$AC$1,cleanprovinces!$C$2:$AC$78,"no",0,1))</f>
        <v>49620</v>
      </c>
      <c r="I297" s="4">
        <f t="shared" si="13"/>
        <v>49620000000</v>
      </c>
      <c r="J297" s="3" cm="1">
        <f t="array" ref="J297">_xlfn.XLOOKUP(D297,[3]Sheet1!$B$2:$B$78,_xlfn.XLOOKUP(E297,[3]Sheet1!$C$1:$AC$1,[3]Sheet1!$C$2:$AC$78))</f>
        <v>1050</v>
      </c>
      <c r="K297" s="3">
        <f t="shared" si="12"/>
        <v>1050000</v>
      </c>
      <c r="L297" s="3">
        <f t="shared" si="14"/>
        <v>47257.142857142855</v>
      </c>
      <c r="M297" s="10">
        <v>103.662385150925</v>
      </c>
      <c r="N297" s="10">
        <v>14.888681501541701</v>
      </c>
    </row>
    <row r="298" spans="1:14" hidden="1" x14ac:dyDescent="0.3">
      <c r="A298" s="5">
        <v>41</v>
      </c>
      <c r="B298" s="5" t="str">
        <f>_xlfn.XLOOKUP(D298,'[1]Viirs77-Sol'!$C$2:$C$694,'[1]Viirs77-Sol'!$A$2:$A$694)</f>
        <v>TH-34</v>
      </c>
      <c r="C298" s="5" t="str">
        <f>_xlfn.XLOOKUP(D298,cleanprovinces!$B:$B,cleanprovinces!$A:$A)</f>
        <v>NE</v>
      </c>
      <c r="D298" s="5" t="s">
        <v>38</v>
      </c>
      <c r="E298" s="6">
        <v>2014</v>
      </c>
      <c r="F298" s="7" cm="1">
        <f t="array" ref="F298">_xlfn.XLOOKUP(D298&amp;E298,'[1]Viirs77-Sol'!$C$2:$C$694&amp;'[1]Viirs77-Sol'!$D$2:$D$694,'[1]Viirs77-Sol'!$E$2:$E$694)</f>
        <v>16258.527179999999</v>
      </c>
      <c r="G298" s="7" cm="1">
        <f t="array" ref="G298">_xlfn.XLOOKUP(B298&amp;E298,'[2]Viirs77-Mean'!$A$2:$A$694&amp;'[2]Viirs77-Mean'!$D$2:$D$694,'[2]Viirs77-Mean'!$E$2:$E$694)</f>
        <v>0.218987562</v>
      </c>
      <c r="H298" s="9" cm="1">
        <f t="array" ref="H298">_xlfn.XLOOKUP(D298,cleanprovinces!$B$2:$B$78,_xlfn.XLOOKUP(panel!E298,cleanprovinces!$C$1:$AC$1,cleanprovinces!$C$2:$AC$78,"no",0,1))</f>
        <v>65343</v>
      </c>
      <c r="I298" s="4">
        <f t="shared" si="13"/>
        <v>65343000000</v>
      </c>
      <c r="J298" s="3" cm="1">
        <f t="array" ref="J298">_xlfn.XLOOKUP(D298,[3]Sheet1!$B$2:$B$78,_xlfn.XLOOKUP(E298,[3]Sheet1!$C$1:$AC$1,[3]Sheet1!$C$2:$AC$78))</f>
        <v>1742</v>
      </c>
      <c r="K298" s="3">
        <f t="shared" si="12"/>
        <v>1742000</v>
      </c>
      <c r="L298" s="3">
        <f t="shared" si="14"/>
        <v>37510.332950631455</v>
      </c>
      <c r="M298" s="10">
        <v>105.114434581963</v>
      </c>
      <c r="N298" s="10">
        <v>15.187499635869999</v>
      </c>
    </row>
    <row r="299" spans="1:14" hidden="1" x14ac:dyDescent="0.3">
      <c r="A299" s="5">
        <v>41</v>
      </c>
      <c r="B299" s="5" t="str">
        <f>_xlfn.XLOOKUP(D299,'[1]Viirs77-Sol'!$C$2:$C$694,'[1]Viirs77-Sol'!$A$2:$A$694)</f>
        <v>TH-34</v>
      </c>
      <c r="C299" s="5" t="str">
        <f>_xlfn.XLOOKUP(D299,cleanprovinces!$B:$B,cleanprovinces!$A:$A)</f>
        <v>NE</v>
      </c>
      <c r="D299" s="5" t="s">
        <v>38</v>
      </c>
      <c r="E299" s="6">
        <v>2015</v>
      </c>
      <c r="F299" s="7" cm="1">
        <f t="array" ref="F299">_xlfn.XLOOKUP(D299&amp;E299,'[1]Viirs77-Sol'!$C$2:$C$694&amp;'[1]Viirs77-Sol'!$D$2:$D$694,'[1]Viirs77-Sol'!$E$2:$E$694)</f>
        <v>18376.922869999999</v>
      </c>
      <c r="G299" s="7" cm="1">
        <f t="array" ref="G299">_xlfn.XLOOKUP(B299&amp;E299,'[2]Viirs77-Mean'!$A$2:$A$694&amp;'[2]Viirs77-Mean'!$D$2:$D$694,'[2]Viirs77-Mean'!$E$2:$E$694)</f>
        <v>0.24752042399999999</v>
      </c>
      <c r="H299" s="9" cm="1">
        <f t="array" ref="H299">_xlfn.XLOOKUP(D299,cleanprovinces!$B$2:$B$78,_xlfn.XLOOKUP(panel!E299,cleanprovinces!$C$1:$AC$1,cleanprovinces!$C$2:$AC$78,"no",0,1))</f>
        <v>69783</v>
      </c>
      <c r="I299" s="4">
        <f t="shared" si="13"/>
        <v>69783000000</v>
      </c>
      <c r="J299" s="3" cm="1">
        <f t="array" ref="J299">_xlfn.XLOOKUP(D299,[3]Sheet1!$B$2:$B$78,_xlfn.XLOOKUP(E299,[3]Sheet1!$C$1:$AC$1,[3]Sheet1!$C$2:$AC$78))</f>
        <v>1741</v>
      </c>
      <c r="K299" s="3">
        <f t="shared" si="12"/>
        <v>1741000</v>
      </c>
      <c r="L299" s="3">
        <f t="shared" si="14"/>
        <v>40082.136703044227</v>
      </c>
      <c r="M299" s="10">
        <v>105.114434581963</v>
      </c>
      <c r="N299" s="10">
        <v>15.187499635869999</v>
      </c>
    </row>
    <row r="300" spans="1:14" hidden="1" x14ac:dyDescent="0.3">
      <c r="A300" s="5">
        <v>41</v>
      </c>
      <c r="B300" s="5" t="str">
        <f>_xlfn.XLOOKUP(D300,'[1]Viirs77-Sol'!$C$2:$C$694,'[1]Viirs77-Sol'!$A$2:$A$694)</f>
        <v>TH-34</v>
      </c>
      <c r="C300" s="5" t="str">
        <f>_xlfn.XLOOKUP(D300,cleanprovinces!$B:$B,cleanprovinces!$A:$A)</f>
        <v>NE</v>
      </c>
      <c r="D300" s="5" t="s">
        <v>38</v>
      </c>
      <c r="E300" s="6">
        <v>2016</v>
      </c>
      <c r="F300" s="7" cm="1">
        <f t="array" ref="F300">_xlfn.XLOOKUP(D300&amp;E300,'[1]Viirs77-Sol'!$C$2:$C$694&amp;'[1]Viirs77-Sol'!$D$2:$D$694,'[1]Viirs77-Sol'!$E$2:$E$694)</f>
        <v>18470.787950000002</v>
      </c>
      <c r="G300" s="7" cm="1">
        <f t="array" ref="G300">_xlfn.XLOOKUP(B300&amp;E300,'[2]Viirs77-Mean'!$A$2:$A$694&amp;'[2]Viirs77-Mean'!$D$2:$D$694,'[2]Viirs77-Mean'!$E$2:$E$694)</f>
        <v>0.248784701</v>
      </c>
      <c r="H300" s="9" cm="1">
        <f t="array" ref="H300">_xlfn.XLOOKUP(D300,cleanprovinces!$B$2:$B$78,_xlfn.XLOOKUP(panel!E300,cleanprovinces!$C$1:$AC$1,cleanprovinces!$C$2:$AC$78,"no",0,1))</f>
        <v>72986</v>
      </c>
      <c r="I300" s="4">
        <f t="shared" si="13"/>
        <v>72986000000</v>
      </c>
      <c r="J300" s="3" cm="1">
        <f t="array" ref="J300">_xlfn.XLOOKUP(D300,[3]Sheet1!$B$2:$B$78,_xlfn.XLOOKUP(E300,[3]Sheet1!$C$1:$AC$1,[3]Sheet1!$C$2:$AC$78))</f>
        <v>1739</v>
      </c>
      <c r="K300" s="3">
        <f t="shared" si="12"/>
        <v>1739000</v>
      </c>
      <c r="L300" s="3">
        <f t="shared" si="14"/>
        <v>41970.097757331801</v>
      </c>
      <c r="M300" s="10">
        <v>105.114434581963</v>
      </c>
      <c r="N300" s="10">
        <v>15.187499635869999</v>
      </c>
    </row>
    <row r="301" spans="1:14" hidden="1" x14ac:dyDescent="0.3">
      <c r="A301" s="5">
        <v>41</v>
      </c>
      <c r="B301" s="5" t="str">
        <f>_xlfn.XLOOKUP(D301,'[1]Viirs77-Sol'!$C$2:$C$694,'[1]Viirs77-Sol'!$A$2:$A$694)</f>
        <v>TH-34</v>
      </c>
      <c r="C301" s="5" t="str">
        <f>_xlfn.XLOOKUP(D301,cleanprovinces!$B:$B,cleanprovinces!$A:$A)</f>
        <v>NE</v>
      </c>
      <c r="D301" s="5" t="s">
        <v>38</v>
      </c>
      <c r="E301" s="6">
        <v>2017</v>
      </c>
      <c r="F301" s="7" cm="1">
        <f t="array" ref="F301">_xlfn.XLOOKUP(D301&amp;E301,'[1]Viirs77-Sol'!$C$2:$C$694&amp;'[1]Viirs77-Sol'!$D$2:$D$694,'[1]Viirs77-Sol'!$E$2:$E$694)</f>
        <v>25082.275809999999</v>
      </c>
      <c r="G301" s="7" cm="1">
        <f t="array" ref="G301">_xlfn.XLOOKUP(B301&amp;E301,'[2]Viirs77-Mean'!$A$2:$A$694&amp;'[2]Viirs77-Mean'!$D$2:$D$694,'[2]Viirs77-Mean'!$E$2:$E$694)</f>
        <v>0.33783542500000002</v>
      </c>
      <c r="H301" s="9" cm="1">
        <f t="array" ref="H301">_xlfn.XLOOKUP(D301,cleanprovinces!$B$2:$B$78,_xlfn.XLOOKUP(panel!E301,cleanprovinces!$C$1:$AC$1,cleanprovinces!$C$2:$AC$78,"no",0,1))</f>
        <v>77070</v>
      </c>
      <c r="I301" s="4">
        <f t="shared" si="13"/>
        <v>77070000000</v>
      </c>
      <c r="J301" s="3" cm="1">
        <f t="array" ref="J301">_xlfn.XLOOKUP(D301,[3]Sheet1!$B$2:$B$78,_xlfn.XLOOKUP(E301,[3]Sheet1!$C$1:$AC$1,[3]Sheet1!$C$2:$AC$78))</f>
        <v>1739</v>
      </c>
      <c r="K301" s="3">
        <f t="shared" si="12"/>
        <v>1739000</v>
      </c>
      <c r="L301" s="3">
        <f t="shared" si="14"/>
        <v>44318.573893041976</v>
      </c>
      <c r="M301" s="10">
        <v>105.114434581963</v>
      </c>
      <c r="N301" s="10">
        <v>15.187499635869999</v>
      </c>
    </row>
    <row r="302" spans="1:14" hidden="1" x14ac:dyDescent="0.3">
      <c r="A302" s="5">
        <v>41</v>
      </c>
      <c r="B302" s="5" t="str">
        <f>_xlfn.XLOOKUP(D302,'[1]Viirs77-Sol'!$C$2:$C$694,'[1]Viirs77-Sol'!$A$2:$A$694)</f>
        <v>TH-34</v>
      </c>
      <c r="C302" s="5" t="str">
        <f>_xlfn.XLOOKUP(D302,cleanprovinces!$B:$B,cleanprovinces!$A:$A)</f>
        <v>NE</v>
      </c>
      <c r="D302" s="5" t="s">
        <v>38</v>
      </c>
      <c r="E302" s="6">
        <v>2018</v>
      </c>
      <c r="F302" s="7" cm="1">
        <f t="array" ref="F302">_xlfn.XLOOKUP(D302&amp;E302,'[1]Viirs77-Sol'!$C$2:$C$694&amp;'[1]Viirs77-Sol'!$D$2:$D$694,'[1]Viirs77-Sol'!$E$2:$E$694)</f>
        <v>25838.092280000001</v>
      </c>
      <c r="G302" s="7" cm="1">
        <f t="array" ref="G302">_xlfn.XLOOKUP(B302&amp;E302,'[2]Viirs77-Mean'!$A$2:$A$694&amp;'[2]Viirs77-Mean'!$D$2:$D$694,'[2]Viirs77-Mean'!$E$2:$E$694)</f>
        <v>0.34801558500000002</v>
      </c>
      <c r="H302" s="9" cm="1">
        <f t="array" ref="H302">_xlfn.XLOOKUP(D302,cleanprovinces!$B$2:$B$78,_xlfn.XLOOKUP(panel!E302,cleanprovinces!$C$1:$AC$1,cleanprovinces!$C$2:$AC$78,"no",0,1))</f>
        <v>76485</v>
      </c>
      <c r="I302" s="4">
        <f t="shared" si="13"/>
        <v>76485000000</v>
      </c>
      <c r="J302" s="3" cm="1">
        <f t="array" ref="J302">_xlfn.XLOOKUP(D302,[3]Sheet1!$B$2:$B$78,_xlfn.XLOOKUP(E302,[3]Sheet1!$C$1:$AC$1,[3]Sheet1!$C$2:$AC$78))</f>
        <v>1738</v>
      </c>
      <c r="K302" s="3">
        <f t="shared" si="12"/>
        <v>1738000</v>
      </c>
      <c r="L302" s="3">
        <f t="shared" si="14"/>
        <v>44007.479861910244</v>
      </c>
      <c r="M302" s="10">
        <v>105.114434581963</v>
      </c>
      <c r="N302" s="10">
        <v>15.187499635869999</v>
      </c>
    </row>
    <row r="303" spans="1:14" hidden="1" x14ac:dyDescent="0.3">
      <c r="A303" s="5">
        <v>41</v>
      </c>
      <c r="B303" s="5" t="str">
        <f>_xlfn.XLOOKUP(D303,'[1]Viirs77-Sol'!$C$2:$C$694,'[1]Viirs77-Sol'!$A$2:$A$694)</f>
        <v>TH-34</v>
      </c>
      <c r="C303" s="5" t="str">
        <f>_xlfn.XLOOKUP(D303,cleanprovinces!$B:$B,cleanprovinces!$A:$A)</f>
        <v>NE</v>
      </c>
      <c r="D303" s="5" t="s">
        <v>38</v>
      </c>
      <c r="E303" s="6">
        <v>2019</v>
      </c>
      <c r="F303" s="7" cm="1">
        <f t="array" ref="F303">_xlfn.XLOOKUP(D303&amp;E303,'[1]Viirs77-Sol'!$C$2:$C$694&amp;'[1]Viirs77-Sol'!$D$2:$D$694,'[1]Viirs77-Sol'!$E$2:$E$694)</f>
        <v>26566.94241</v>
      </c>
      <c r="G303" s="7" cm="1">
        <f t="array" ref="G303">_xlfn.XLOOKUP(B303&amp;E303,'[2]Viirs77-Mean'!$A$2:$A$694&amp;'[2]Viirs77-Mean'!$D$2:$D$694,'[2]Viirs77-Mean'!$E$2:$E$694)</f>
        <v>0.35783253300000001</v>
      </c>
      <c r="H303" s="9" cm="1">
        <f t="array" ref="H303">_xlfn.XLOOKUP(D303,cleanprovinces!$B$2:$B$78,_xlfn.XLOOKUP(panel!E303,cleanprovinces!$C$1:$AC$1,cleanprovinces!$C$2:$AC$78,"no",0,1))</f>
        <v>76531</v>
      </c>
      <c r="I303" s="4">
        <f t="shared" si="13"/>
        <v>76531000000</v>
      </c>
      <c r="J303" s="3" cm="1">
        <f t="array" ref="J303">_xlfn.XLOOKUP(D303,[3]Sheet1!$B$2:$B$78,_xlfn.XLOOKUP(E303,[3]Sheet1!$C$1:$AC$1,[3]Sheet1!$C$2:$AC$78))</f>
        <v>1737</v>
      </c>
      <c r="K303" s="3">
        <f t="shared" si="12"/>
        <v>1737000</v>
      </c>
      <c r="L303" s="3">
        <f t="shared" si="14"/>
        <v>44059.297639608521</v>
      </c>
      <c r="M303" s="10">
        <v>105.114434581963</v>
      </c>
      <c r="N303" s="10">
        <v>15.187499635869999</v>
      </c>
    </row>
    <row r="304" spans="1:14" hidden="1" x14ac:dyDescent="0.3">
      <c r="A304" s="5">
        <v>41</v>
      </c>
      <c r="B304" s="5" t="str">
        <f>_xlfn.XLOOKUP(D304,'[1]Viirs77-Sol'!$C$2:$C$694,'[1]Viirs77-Sol'!$A$2:$A$694)</f>
        <v>TH-34</v>
      </c>
      <c r="C304" s="5" t="str">
        <f>_xlfn.XLOOKUP(D304,cleanprovinces!$B:$B,cleanprovinces!$A:$A)</f>
        <v>NE</v>
      </c>
      <c r="D304" s="5" t="s">
        <v>38</v>
      </c>
      <c r="E304" s="6">
        <v>2020</v>
      </c>
      <c r="F304" s="7" cm="1">
        <f t="array" ref="F304">_xlfn.XLOOKUP(D304&amp;E304,'[1]Viirs77-Sol'!$C$2:$C$694&amp;'[1]Viirs77-Sol'!$D$2:$D$694,'[1]Viirs77-Sol'!$E$2:$E$694)</f>
        <v>30497.428360000002</v>
      </c>
      <c r="G304" s="7" cm="1">
        <f t="array" ref="G304">_xlfn.XLOOKUP(B304&amp;E304,'[2]Viirs77-Mean'!$A$2:$A$694&amp;'[2]Viirs77-Mean'!$D$2:$D$694,'[2]Viirs77-Mean'!$E$2:$E$694)</f>
        <v>0.41077260100000001</v>
      </c>
      <c r="H304" s="9" cm="1">
        <f t="array" ref="H304">_xlfn.XLOOKUP(D304,cleanprovinces!$B$2:$B$78,_xlfn.XLOOKUP(panel!E304,cleanprovinces!$C$1:$AC$1,cleanprovinces!$C$2:$AC$78,"no",0,1))</f>
        <v>78127</v>
      </c>
      <c r="I304" s="4">
        <f t="shared" si="13"/>
        <v>78127000000</v>
      </c>
      <c r="J304" s="3" cm="1">
        <f t="array" ref="J304">_xlfn.XLOOKUP(D304,[3]Sheet1!$B$2:$B$78,_xlfn.XLOOKUP(E304,[3]Sheet1!$C$1:$AC$1,[3]Sheet1!$C$2:$AC$78))</f>
        <v>1735</v>
      </c>
      <c r="K304" s="3">
        <f t="shared" si="12"/>
        <v>1735000</v>
      </c>
      <c r="L304" s="3">
        <f t="shared" si="14"/>
        <v>45029.971181556197</v>
      </c>
      <c r="M304" s="10">
        <v>105.114434581963</v>
      </c>
      <c r="N304" s="10">
        <v>15.187499635869999</v>
      </c>
    </row>
    <row r="305" spans="1:14" hidden="1" x14ac:dyDescent="0.3">
      <c r="A305" s="5">
        <v>41</v>
      </c>
      <c r="B305" s="5" t="str">
        <f>_xlfn.XLOOKUP(D305,'[1]Viirs77-Sol'!$C$2:$C$694,'[1]Viirs77-Sol'!$A$2:$A$694)</f>
        <v>TH-34</v>
      </c>
      <c r="C305" s="5" t="str">
        <f>_xlfn.XLOOKUP(D305,cleanprovinces!$B:$B,cleanprovinces!$A:$A)</f>
        <v>NE</v>
      </c>
      <c r="D305" s="5" t="s">
        <v>38</v>
      </c>
      <c r="E305" s="6">
        <v>2021</v>
      </c>
      <c r="F305" s="7" cm="1">
        <f t="array" ref="F305">_xlfn.XLOOKUP(D305&amp;E305,'[1]Viirs77-Sol'!$C$2:$C$694&amp;'[1]Viirs77-Sol'!$D$2:$D$694,'[1]Viirs77-Sol'!$E$2:$E$694)</f>
        <v>37698.769659999998</v>
      </c>
      <c r="G305" s="7" cm="1">
        <f t="array" ref="G305">_xlfn.XLOOKUP(B305&amp;E305,'[2]Viirs77-Mean'!$A$2:$A$694&amp;'[2]Viirs77-Mean'!$D$2:$D$694,'[2]Viirs77-Mean'!$E$2:$E$694)</f>
        <v>0.50776811300000002</v>
      </c>
      <c r="H305" s="9" cm="1">
        <f t="array" ref="H305">_xlfn.XLOOKUP(D305,cleanprovinces!$B$2:$B$78,_xlfn.XLOOKUP(panel!E305,cleanprovinces!$C$1:$AC$1,cleanprovinces!$C$2:$AC$78,"no",0,1))</f>
        <v>80456</v>
      </c>
      <c r="I305" s="4">
        <f t="shared" si="13"/>
        <v>80456000000</v>
      </c>
      <c r="J305" s="3" cm="1">
        <f t="array" ref="J305">_xlfn.XLOOKUP(D305,[3]Sheet1!$B$2:$B$78,_xlfn.XLOOKUP(E305,[3]Sheet1!$C$1:$AC$1,[3]Sheet1!$C$2:$AC$78))</f>
        <v>1733</v>
      </c>
      <c r="K305" s="3">
        <f t="shared" si="12"/>
        <v>1733000</v>
      </c>
      <c r="L305" s="3">
        <f t="shared" si="14"/>
        <v>46425.851125216388</v>
      </c>
      <c r="M305" s="10">
        <v>105.114434581963</v>
      </c>
      <c r="N305" s="10">
        <v>15.187499635869999</v>
      </c>
    </row>
    <row r="306" spans="1:14" hidden="1" x14ac:dyDescent="0.3">
      <c r="A306" s="5">
        <v>23</v>
      </c>
      <c r="B306" s="5" t="str">
        <f>_xlfn.XLOOKUP(D306,'[1]Viirs77-Sol'!$C$2:$C$694,'[1]Viirs77-Sol'!$A$2:$A$694)</f>
        <v>TH-41</v>
      </c>
      <c r="C306" s="5" t="str">
        <f>_xlfn.XLOOKUP(D306,cleanprovinces!$B:$B,cleanprovinces!$A:$A)</f>
        <v>NE</v>
      </c>
      <c r="D306" s="5" t="s">
        <v>28</v>
      </c>
      <c r="E306" s="6">
        <v>2014</v>
      </c>
      <c r="F306" s="7" cm="1">
        <f t="array" ref="F306">_xlfn.XLOOKUP(D306&amp;E306,'[1]Viirs77-Sol'!$C$2:$C$694&amp;'[1]Viirs77-Sol'!$D$2:$D$694,'[1]Viirs77-Sol'!$E$2:$E$694)</f>
        <v>16415.290079999999</v>
      </c>
      <c r="G306" s="7" cm="1">
        <f t="array" ref="G306">_xlfn.XLOOKUP(B306&amp;E306,'[2]Viirs77-Mean'!$A$2:$A$694&amp;'[2]Viirs77-Mean'!$D$2:$D$694,'[2]Viirs77-Mean'!$E$2:$E$694)</f>
        <v>0.31092063199999997</v>
      </c>
      <c r="H306" s="9" cm="1">
        <f t="array" ref="H306">_xlfn.XLOOKUP(D306,cleanprovinces!$B$2:$B$78,_xlfn.XLOOKUP(panel!E306,cleanprovinces!$C$1:$AC$1,cleanprovinces!$C$2:$AC$78,"no",0,1))</f>
        <v>65708</v>
      </c>
      <c r="I306" s="4">
        <f t="shared" si="13"/>
        <v>65708000000</v>
      </c>
      <c r="J306" s="3" cm="1">
        <f t="array" ref="J306">_xlfn.XLOOKUP(D306,[3]Sheet1!$B$2:$B$78,_xlfn.XLOOKUP(E306,[3]Sheet1!$C$1:$AC$1,[3]Sheet1!$C$2:$AC$78))</f>
        <v>1280</v>
      </c>
      <c r="K306" s="3">
        <f t="shared" si="12"/>
        <v>1280000</v>
      </c>
      <c r="L306" s="3">
        <f t="shared" si="14"/>
        <v>51334.375</v>
      </c>
      <c r="M306" s="10">
        <v>102.86068974216199</v>
      </c>
      <c r="N306" s="10">
        <v>17.4242941433588</v>
      </c>
    </row>
    <row r="307" spans="1:14" hidden="1" x14ac:dyDescent="0.3">
      <c r="A307" s="5">
        <v>23</v>
      </c>
      <c r="B307" s="5" t="str">
        <f>_xlfn.XLOOKUP(D307,'[1]Viirs77-Sol'!$C$2:$C$694,'[1]Viirs77-Sol'!$A$2:$A$694)</f>
        <v>TH-41</v>
      </c>
      <c r="C307" s="5" t="str">
        <f>_xlfn.XLOOKUP(D307,cleanprovinces!$B:$B,cleanprovinces!$A:$A)</f>
        <v>NE</v>
      </c>
      <c r="D307" s="5" t="s">
        <v>28</v>
      </c>
      <c r="E307" s="6">
        <v>2015</v>
      </c>
      <c r="F307" s="7" cm="1">
        <f t="array" ref="F307">_xlfn.XLOOKUP(D307&amp;E307,'[1]Viirs77-Sol'!$C$2:$C$694&amp;'[1]Viirs77-Sol'!$D$2:$D$694,'[1]Viirs77-Sol'!$E$2:$E$694)</f>
        <v>18760.53397</v>
      </c>
      <c r="G307" s="7" cm="1">
        <f t="array" ref="G307">_xlfn.XLOOKUP(B307&amp;E307,'[2]Viirs77-Mean'!$A$2:$A$694&amp;'[2]Viirs77-Mean'!$D$2:$D$694,'[2]Viirs77-Mean'!$E$2:$E$694)</f>
        <v>0.35534169900000001</v>
      </c>
      <c r="H307" s="9" cm="1">
        <f t="array" ref="H307">_xlfn.XLOOKUP(D307,cleanprovinces!$B$2:$B$78,_xlfn.XLOOKUP(panel!E307,cleanprovinces!$C$1:$AC$1,cleanprovinces!$C$2:$AC$78,"no",0,1))</f>
        <v>67665</v>
      </c>
      <c r="I307" s="4">
        <f t="shared" si="13"/>
        <v>67665000000</v>
      </c>
      <c r="J307" s="3" cm="1">
        <f t="array" ref="J307">_xlfn.XLOOKUP(D307,[3]Sheet1!$B$2:$B$78,_xlfn.XLOOKUP(E307,[3]Sheet1!$C$1:$AC$1,[3]Sheet1!$C$2:$AC$78))</f>
        <v>1278</v>
      </c>
      <c r="K307" s="3">
        <f t="shared" si="12"/>
        <v>1278000</v>
      </c>
      <c r="L307" s="3">
        <f t="shared" si="14"/>
        <v>52946.009389671359</v>
      </c>
      <c r="M307" s="10">
        <v>102.86068974216199</v>
      </c>
      <c r="N307" s="10">
        <v>17.4242941433588</v>
      </c>
    </row>
    <row r="308" spans="1:14" hidden="1" x14ac:dyDescent="0.3">
      <c r="A308" s="5">
        <v>23</v>
      </c>
      <c r="B308" s="5" t="str">
        <f>_xlfn.XLOOKUP(D308,'[1]Viirs77-Sol'!$C$2:$C$694,'[1]Viirs77-Sol'!$A$2:$A$694)</f>
        <v>TH-41</v>
      </c>
      <c r="C308" s="5" t="str">
        <f>_xlfn.XLOOKUP(D308,cleanprovinces!$B:$B,cleanprovinces!$A:$A)</f>
        <v>NE</v>
      </c>
      <c r="D308" s="5" t="s">
        <v>28</v>
      </c>
      <c r="E308" s="6">
        <v>2016</v>
      </c>
      <c r="F308" s="7" cm="1">
        <f t="array" ref="F308">_xlfn.XLOOKUP(D308&amp;E308,'[1]Viirs77-Sol'!$C$2:$C$694&amp;'[1]Viirs77-Sol'!$D$2:$D$694,'[1]Viirs77-Sol'!$E$2:$E$694)</f>
        <v>18670.112270000001</v>
      </c>
      <c r="G308" s="7" cm="1">
        <f t="array" ref="G308">_xlfn.XLOOKUP(B308&amp;E308,'[2]Viirs77-Mean'!$A$2:$A$694&amp;'[2]Viirs77-Mean'!$D$2:$D$694,'[2]Viirs77-Mean'!$E$2:$E$694)</f>
        <v>0.35362903000000001</v>
      </c>
      <c r="H308" s="9" cm="1">
        <f t="array" ref="H308">_xlfn.XLOOKUP(D308,cleanprovinces!$B$2:$B$78,_xlfn.XLOOKUP(panel!E308,cleanprovinces!$C$1:$AC$1,cleanprovinces!$C$2:$AC$78,"no",0,1))</f>
        <v>68264</v>
      </c>
      <c r="I308" s="4">
        <f t="shared" si="13"/>
        <v>68264000000</v>
      </c>
      <c r="J308" s="3" cm="1">
        <f t="array" ref="J308">_xlfn.XLOOKUP(D308,[3]Sheet1!$B$2:$B$78,_xlfn.XLOOKUP(E308,[3]Sheet1!$C$1:$AC$1,[3]Sheet1!$C$2:$AC$78))</f>
        <v>1273</v>
      </c>
      <c r="K308" s="3">
        <f t="shared" si="12"/>
        <v>1273000</v>
      </c>
      <c r="L308" s="3">
        <f t="shared" si="14"/>
        <v>53624.509033778479</v>
      </c>
      <c r="M308" s="10">
        <v>102.86068974216199</v>
      </c>
      <c r="N308" s="10">
        <v>17.4242941433588</v>
      </c>
    </row>
    <row r="309" spans="1:14" hidden="1" x14ac:dyDescent="0.3">
      <c r="A309" s="5">
        <v>23</v>
      </c>
      <c r="B309" s="5" t="str">
        <f>_xlfn.XLOOKUP(D309,'[1]Viirs77-Sol'!$C$2:$C$694,'[1]Viirs77-Sol'!$A$2:$A$694)</f>
        <v>TH-41</v>
      </c>
      <c r="C309" s="5" t="str">
        <f>_xlfn.XLOOKUP(D309,cleanprovinces!$B:$B,cleanprovinces!$A:$A)</f>
        <v>NE</v>
      </c>
      <c r="D309" s="5" t="s">
        <v>28</v>
      </c>
      <c r="E309" s="6">
        <v>2017</v>
      </c>
      <c r="F309" s="7" cm="1">
        <f t="array" ref="F309">_xlfn.XLOOKUP(D309&amp;E309,'[1]Viirs77-Sol'!$C$2:$C$694&amp;'[1]Viirs77-Sol'!$D$2:$D$694,'[1]Viirs77-Sol'!$E$2:$E$694)</f>
        <v>24477.783179999999</v>
      </c>
      <c r="G309" s="7" cm="1">
        <f t="array" ref="G309">_xlfn.XLOOKUP(B309&amp;E309,'[2]Viirs77-Mean'!$A$2:$A$694&amp;'[2]Viirs77-Mean'!$D$2:$D$694,'[2]Viirs77-Mean'!$E$2:$E$694)</f>
        <v>0.46363163699999999</v>
      </c>
      <c r="H309" s="9" cm="1">
        <f t="array" ref="H309">_xlfn.XLOOKUP(D309,cleanprovinces!$B$2:$B$78,_xlfn.XLOOKUP(panel!E309,cleanprovinces!$C$1:$AC$1,cleanprovinces!$C$2:$AC$78,"no",0,1))</f>
        <v>69277</v>
      </c>
      <c r="I309" s="4">
        <f t="shared" si="13"/>
        <v>69277000000</v>
      </c>
      <c r="J309" s="3" cm="1">
        <f t="array" ref="J309">_xlfn.XLOOKUP(D309,[3]Sheet1!$B$2:$B$78,_xlfn.XLOOKUP(E309,[3]Sheet1!$C$1:$AC$1,[3]Sheet1!$C$2:$AC$78))</f>
        <v>1270</v>
      </c>
      <c r="K309" s="3">
        <f t="shared" si="12"/>
        <v>1270000</v>
      </c>
      <c r="L309" s="3">
        <f t="shared" si="14"/>
        <v>54548.818897637793</v>
      </c>
      <c r="M309" s="10">
        <v>102.86068974216199</v>
      </c>
      <c r="N309" s="10">
        <v>17.4242941433588</v>
      </c>
    </row>
    <row r="310" spans="1:14" hidden="1" x14ac:dyDescent="0.3">
      <c r="A310" s="5">
        <v>23</v>
      </c>
      <c r="B310" s="5" t="str">
        <f>_xlfn.XLOOKUP(D310,'[1]Viirs77-Sol'!$C$2:$C$694,'[1]Viirs77-Sol'!$A$2:$A$694)</f>
        <v>TH-41</v>
      </c>
      <c r="C310" s="5" t="str">
        <f>_xlfn.XLOOKUP(D310,cleanprovinces!$B:$B,cleanprovinces!$A:$A)</f>
        <v>NE</v>
      </c>
      <c r="D310" s="5" t="s">
        <v>28</v>
      </c>
      <c r="E310" s="6">
        <v>2018</v>
      </c>
      <c r="F310" s="7" cm="1">
        <f t="array" ref="F310">_xlfn.XLOOKUP(D310&amp;E310,'[1]Viirs77-Sol'!$C$2:$C$694&amp;'[1]Viirs77-Sol'!$D$2:$D$694,'[1]Viirs77-Sol'!$E$2:$E$694)</f>
        <v>25984.829440000001</v>
      </c>
      <c r="G310" s="7" cm="1">
        <f t="array" ref="G310">_xlfn.XLOOKUP(B310&amp;E310,'[2]Viirs77-Mean'!$A$2:$A$694&amp;'[2]Viirs77-Mean'!$D$2:$D$694,'[2]Viirs77-Mean'!$E$2:$E$694)</f>
        <v>0.49217647399999997</v>
      </c>
      <c r="H310" s="9" cm="1">
        <f t="array" ref="H310">_xlfn.XLOOKUP(D310,cleanprovinces!$B$2:$B$78,_xlfn.XLOOKUP(panel!E310,cleanprovinces!$C$1:$AC$1,cleanprovinces!$C$2:$AC$78,"no",0,1))</f>
        <v>71375</v>
      </c>
      <c r="I310" s="4">
        <f t="shared" si="13"/>
        <v>71375000000</v>
      </c>
      <c r="J310" s="3" cm="1">
        <f t="array" ref="J310">_xlfn.XLOOKUP(D310,[3]Sheet1!$B$2:$B$78,_xlfn.XLOOKUP(E310,[3]Sheet1!$C$1:$AC$1,[3]Sheet1!$C$2:$AC$78))</f>
        <v>1266</v>
      </c>
      <c r="K310" s="3">
        <f t="shared" si="12"/>
        <v>1266000</v>
      </c>
      <c r="L310" s="3">
        <f t="shared" si="14"/>
        <v>56378.357030015795</v>
      </c>
      <c r="M310" s="10">
        <v>102.86068974216199</v>
      </c>
      <c r="N310" s="10">
        <v>17.4242941433588</v>
      </c>
    </row>
    <row r="311" spans="1:14" hidden="1" x14ac:dyDescent="0.3">
      <c r="A311" s="5">
        <v>23</v>
      </c>
      <c r="B311" s="5" t="str">
        <f>_xlfn.XLOOKUP(D311,'[1]Viirs77-Sol'!$C$2:$C$694,'[1]Viirs77-Sol'!$A$2:$A$694)</f>
        <v>TH-41</v>
      </c>
      <c r="C311" s="5" t="str">
        <f>_xlfn.XLOOKUP(D311,cleanprovinces!$B:$B,cleanprovinces!$A:$A)</f>
        <v>NE</v>
      </c>
      <c r="D311" s="5" t="s">
        <v>28</v>
      </c>
      <c r="E311" s="6">
        <v>2019</v>
      </c>
      <c r="F311" s="7" cm="1">
        <f t="array" ref="F311">_xlfn.XLOOKUP(D311&amp;E311,'[1]Viirs77-Sol'!$C$2:$C$694&amp;'[1]Viirs77-Sol'!$D$2:$D$694,'[1]Viirs77-Sol'!$E$2:$E$694)</f>
        <v>25866.700789999999</v>
      </c>
      <c r="G311" s="7" cm="1">
        <f t="array" ref="G311">_xlfn.XLOOKUP(B311&amp;E311,'[2]Viirs77-Mean'!$A$2:$A$694&amp;'[2]Viirs77-Mean'!$D$2:$D$694,'[2]Viirs77-Mean'!$E$2:$E$694)</f>
        <v>0.48993900899999998</v>
      </c>
      <c r="H311" s="9" cm="1">
        <f t="array" ref="H311">_xlfn.XLOOKUP(D311,cleanprovinces!$B$2:$B$78,_xlfn.XLOOKUP(panel!E311,cleanprovinces!$C$1:$AC$1,cleanprovinces!$C$2:$AC$78,"no",0,1))</f>
        <v>71726</v>
      </c>
      <c r="I311" s="4">
        <f t="shared" si="13"/>
        <v>71726000000</v>
      </c>
      <c r="J311" s="3" cm="1">
        <f t="array" ref="J311">_xlfn.XLOOKUP(D311,[3]Sheet1!$B$2:$B$78,_xlfn.XLOOKUP(E311,[3]Sheet1!$C$1:$AC$1,[3]Sheet1!$C$2:$AC$78))</f>
        <v>1262</v>
      </c>
      <c r="K311" s="3">
        <f t="shared" si="12"/>
        <v>1262000</v>
      </c>
      <c r="L311" s="3">
        <f t="shared" si="14"/>
        <v>56835.182250396196</v>
      </c>
      <c r="M311" s="10">
        <v>102.86068974216199</v>
      </c>
      <c r="N311" s="10">
        <v>17.4242941433588</v>
      </c>
    </row>
    <row r="312" spans="1:14" hidden="1" x14ac:dyDescent="0.3">
      <c r="A312" s="5">
        <v>23</v>
      </c>
      <c r="B312" s="5" t="str">
        <f>_xlfn.XLOOKUP(D312,'[1]Viirs77-Sol'!$C$2:$C$694,'[1]Viirs77-Sol'!$A$2:$A$694)</f>
        <v>TH-41</v>
      </c>
      <c r="C312" s="5" t="str">
        <f>_xlfn.XLOOKUP(D312,cleanprovinces!$B:$B,cleanprovinces!$A:$A)</f>
        <v>NE</v>
      </c>
      <c r="D312" s="5" t="s">
        <v>28</v>
      </c>
      <c r="E312" s="6">
        <v>2020</v>
      </c>
      <c r="F312" s="7" cm="1">
        <f t="array" ref="F312">_xlfn.XLOOKUP(D312&amp;E312,'[1]Viirs77-Sol'!$C$2:$C$694&amp;'[1]Viirs77-Sol'!$D$2:$D$694,'[1]Viirs77-Sol'!$E$2:$E$694)</f>
        <v>29588.609639999999</v>
      </c>
      <c r="G312" s="7" cm="1">
        <f t="array" ref="G312">_xlfn.XLOOKUP(B312&amp;E312,'[2]Viirs77-Mean'!$A$2:$A$694&amp;'[2]Viirs77-Mean'!$D$2:$D$694,'[2]Viirs77-Mean'!$E$2:$E$694)</f>
        <v>0.56043537200000004</v>
      </c>
      <c r="H312" s="9" cm="1">
        <f t="array" ref="H312">_xlfn.XLOOKUP(D312,cleanprovinces!$B$2:$B$78,_xlfn.XLOOKUP(panel!E312,cleanprovinces!$C$1:$AC$1,cleanprovinces!$C$2:$AC$78,"no",0,1))</f>
        <v>68995</v>
      </c>
      <c r="I312" s="4">
        <f t="shared" si="13"/>
        <v>68995000000</v>
      </c>
      <c r="J312" s="3" cm="1">
        <f t="array" ref="J312">_xlfn.XLOOKUP(D312,[3]Sheet1!$B$2:$B$78,_xlfn.XLOOKUP(E312,[3]Sheet1!$C$1:$AC$1,[3]Sheet1!$C$2:$AC$78))</f>
        <v>1257</v>
      </c>
      <c r="K312" s="3">
        <f t="shared" si="12"/>
        <v>1257000</v>
      </c>
      <c r="L312" s="3">
        <f t="shared" si="14"/>
        <v>54888.623707239458</v>
      </c>
      <c r="M312" s="10">
        <v>102.86068974216199</v>
      </c>
      <c r="N312" s="10">
        <v>17.4242941433588</v>
      </c>
    </row>
    <row r="313" spans="1:14" hidden="1" x14ac:dyDescent="0.3">
      <c r="A313" s="5">
        <v>23</v>
      </c>
      <c r="B313" s="5" t="str">
        <f>_xlfn.XLOOKUP(D313,'[1]Viirs77-Sol'!$C$2:$C$694,'[1]Viirs77-Sol'!$A$2:$A$694)</f>
        <v>TH-41</v>
      </c>
      <c r="C313" s="5" t="str">
        <f>_xlfn.XLOOKUP(D313,cleanprovinces!$B:$B,cleanprovinces!$A:$A)</f>
        <v>NE</v>
      </c>
      <c r="D313" s="5" t="s">
        <v>28</v>
      </c>
      <c r="E313" s="6">
        <v>2021</v>
      </c>
      <c r="F313" s="7" cm="1">
        <f t="array" ref="F313">_xlfn.XLOOKUP(D313&amp;E313,'[1]Viirs77-Sol'!$C$2:$C$694&amp;'[1]Viirs77-Sol'!$D$2:$D$694,'[1]Viirs77-Sol'!$E$2:$E$694)</f>
        <v>33584.794600000001</v>
      </c>
      <c r="G313" s="7" cm="1">
        <f t="array" ref="G313">_xlfn.XLOOKUP(B313&amp;E313,'[2]Viirs77-Mean'!$A$2:$A$694&amp;'[2]Viirs77-Mean'!$D$2:$D$694,'[2]Viirs77-Mean'!$E$2:$E$694)</f>
        <v>0.636126776</v>
      </c>
      <c r="H313" s="9" cm="1">
        <f t="array" ref="H313">_xlfn.XLOOKUP(D313,cleanprovinces!$B$2:$B$78,_xlfn.XLOOKUP(panel!E313,cleanprovinces!$C$1:$AC$1,cleanprovinces!$C$2:$AC$78,"no",0,1))</f>
        <v>71089</v>
      </c>
      <c r="I313" s="4">
        <f t="shared" si="13"/>
        <v>71089000000</v>
      </c>
      <c r="J313" s="3" cm="1">
        <f t="array" ref="J313">_xlfn.XLOOKUP(D313,[3]Sheet1!$B$2:$B$78,_xlfn.XLOOKUP(E313,[3]Sheet1!$C$1:$AC$1,[3]Sheet1!$C$2:$AC$78))</f>
        <v>1253</v>
      </c>
      <c r="K313" s="3">
        <f t="shared" si="12"/>
        <v>1253000</v>
      </c>
      <c r="L313" s="3">
        <f t="shared" si="14"/>
        <v>56735.035913806867</v>
      </c>
      <c r="M313" s="10">
        <v>102.86068974216199</v>
      </c>
      <c r="N313" s="10">
        <v>17.4242941433588</v>
      </c>
    </row>
    <row r="314" spans="1:14" hidden="1" x14ac:dyDescent="0.3">
      <c r="A314" s="5">
        <v>31</v>
      </c>
      <c r="B314" s="5" t="str">
        <f>_xlfn.XLOOKUP(D314,'[1]Viirs77-Sol'!$C$2:$C$694,'[1]Viirs77-Sol'!$A$2:$A$694)</f>
        <v>TH-35</v>
      </c>
      <c r="C314" s="5" t="str">
        <f>_xlfn.XLOOKUP(D314,cleanprovinces!$B:$B,cleanprovinces!$A:$A)</f>
        <v>NE</v>
      </c>
      <c r="D314" s="5" t="s">
        <v>37</v>
      </c>
      <c r="E314" s="6">
        <v>2014</v>
      </c>
      <c r="F314" s="7" cm="1">
        <f t="array" ref="F314">_xlfn.XLOOKUP(D314&amp;E314,'[1]Viirs77-Sol'!$C$2:$C$694&amp;'[1]Viirs77-Sol'!$D$2:$D$694,'[1]Viirs77-Sol'!$E$2:$E$694)</f>
        <v>4787.4991129999999</v>
      </c>
      <c r="G314" s="7" cm="1">
        <f t="array" ref="G314">_xlfn.XLOOKUP(B314&amp;E314,'[2]Viirs77-Mean'!$A$2:$A$694&amp;'[2]Viirs77-Mean'!$D$2:$D$694,'[2]Viirs77-Mean'!$E$2:$E$694)</f>
        <v>0.240835838</v>
      </c>
      <c r="H314" s="9" cm="1">
        <f t="array" ref="H314">_xlfn.XLOOKUP(D314,cleanprovinces!$B$2:$B$78,_xlfn.XLOOKUP(panel!E314,cleanprovinces!$C$1:$AC$1,cleanprovinces!$C$2:$AC$78,"no",0,1))</f>
        <v>15675</v>
      </c>
      <c r="I314" s="4">
        <f t="shared" si="13"/>
        <v>15675000000</v>
      </c>
      <c r="J314" s="3" cm="1">
        <f t="array" ref="J314">_xlfn.XLOOKUP(D314,[3]Sheet1!$B$2:$B$78,_xlfn.XLOOKUP(E314,[3]Sheet1!$C$1:$AC$1,[3]Sheet1!$C$2:$AC$78))</f>
        <v>477</v>
      </c>
      <c r="K314" s="3">
        <f t="shared" si="12"/>
        <v>477000</v>
      </c>
      <c r="L314" s="3">
        <f t="shared" si="14"/>
        <v>32861.635220125783</v>
      </c>
      <c r="M314" s="10">
        <v>104.338020193115</v>
      </c>
      <c r="N314" s="10">
        <v>15.8890865712048</v>
      </c>
    </row>
    <row r="315" spans="1:14" hidden="1" x14ac:dyDescent="0.3">
      <c r="A315" s="5">
        <v>31</v>
      </c>
      <c r="B315" s="5" t="str">
        <f>_xlfn.XLOOKUP(D315,'[1]Viirs77-Sol'!$C$2:$C$694,'[1]Viirs77-Sol'!$A$2:$A$694)</f>
        <v>TH-35</v>
      </c>
      <c r="C315" s="5" t="str">
        <f>_xlfn.XLOOKUP(D315,cleanprovinces!$B:$B,cleanprovinces!$A:$A)</f>
        <v>NE</v>
      </c>
      <c r="D315" s="5" t="s">
        <v>37</v>
      </c>
      <c r="E315" s="6">
        <v>2015</v>
      </c>
      <c r="F315" s="7" cm="1">
        <f t="array" ref="F315">_xlfn.XLOOKUP(D315&amp;E315,'[1]Viirs77-Sol'!$C$2:$C$694&amp;'[1]Viirs77-Sol'!$D$2:$D$694,'[1]Viirs77-Sol'!$E$2:$E$694)</f>
        <v>5718.971904</v>
      </c>
      <c r="G315" s="7" cm="1">
        <f t="array" ref="G315">_xlfn.XLOOKUP(B315&amp;E315,'[2]Viirs77-Mean'!$A$2:$A$694&amp;'[2]Viirs77-Mean'!$D$2:$D$694,'[2]Viirs77-Mean'!$E$2:$E$694)</f>
        <v>0.28769371100000002</v>
      </c>
      <c r="H315" s="9" cm="1">
        <f t="array" ref="H315">_xlfn.XLOOKUP(D315,cleanprovinces!$B$2:$B$78,_xlfn.XLOOKUP(panel!E315,cleanprovinces!$C$1:$AC$1,cleanprovinces!$C$2:$AC$78,"no",0,1))</f>
        <v>15405</v>
      </c>
      <c r="I315" s="4">
        <f t="shared" si="13"/>
        <v>15405000000</v>
      </c>
      <c r="J315" s="3" cm="1">
        <f t="array" ref="J315">_xlfn.XLOOKUP(D315,[3]Sheet1!$B$2:$B$78,_xlfn.XLOOKUP(E315,[3]Sheet1!$C$1:$AC$1,[3]Sheet1!$C$2:$AC$78))</f>
        <v>474</v>
      </c>
      <c r="K315" s="3">
        <f t="shared" si="12"/>
        <v>474000</v>
      </c>
      <c r="L315" s="3">
        <f t="shared" si="14"/>
        <v>32500</v>
      </c>
      <c r="M315" s="10">
        <v>104.338020193115</v>
      </c>
      <c r="N315" s="10">
        <v>15.8890865712048</v>
      </c>
    </row>
    <row r="316" spans="1:14" hidden="1" x14ac:dyDescent="0.3">
      <c r="A316" s="5">
        <v>31</v>
      </c>
      <c r="B316" s="5" t="str">
        <f>_xlfn.XLOOKUP(D316,'[1]Viirs77-Sol'!$C$2:$C$694,'[1]Viirs77-Sol'!$A$2:$A$694)</f>
        <v>TH-35</v>
      </c>
      <c r="C316" s="5" t="str">
        <f>_xlfn.XLOOKUP(D316,cleanprovinces!$B:$B,cleanprovinces!$A:$A)</f>
        <v>NE</v>
      </c>
      <c r="D316" s="5" t="s">
        <v>37</v>
      </c>
      <c r="E316" s="6">
        <v>2016</v>
      </c>
      <c r="F316" s="7" cm="1">
        <f t="array" ref="F316">_xlfn.XLOOKUP(D316&amp;E316,'[1]Viirs77-Sol'!$C$2:$C$694&amp;'[1]Viirs77-Sol'!$D$2:$D$694,'[1]Viirs77-Sol'!$E$2:$E$694)</f>
        <v>5402.0225840000003</v>
      </c>
      <c r="G316" s="7" cm="1">
        <f t="array" ref="G316">_xlfn.XLOOKUP(B316&amp;E316,'[2]Viirs77-Mean'!$A$2:$A$694&amp;'[2]Viirs77-Mean'!$D$2:$D$694,'[2]Viirs77-Mean'!$E$2:$E$694)</f>
        <v>0.27174953000000002</v>
      </c>
      <c r="H316" s="9" cm="1">
        <f t="array" ref="H316">_xlfn.XLOOKUP(D316,cleanprovinces!$B$2:$B$78,_xlfn.XLOOKUP(panel!E316,cleanprovinces!$C$1:$AC$1,cleanprovinces!$C$2:$AC$78,"no",0,1))</f>
        <v>16139</v>
      </c>
      <c r="I316" s="4">
        <f t="shared" si="13"/>
        <v>16139000000</v>
      </c>
      <c r="J316" s="3" cm="1">
        <f t="array" ref="J316">_xlfn.XLOOKUP(D316,[3]Sheet1!$B$2:$B$78,_xlfn.XLOOKUP(E316,[3]Sheet1!$C$1:$AC$1,[3]Sheet1!$C$2:$AC$78))</f>
        <v>470</v>
      </c>
      <c r="K316" s="3">
        <f t="shared" si="12"/>
        <v>470000</v>
      </c>
      <c r="L316" s="3">
        <f t="shared" si="14"/>
        <v>34338.297872340423</v>
      </c>
      <c r="M316" s="10">
        <v>104.338020193115</v>
      </c>
      <c r="N316" s="10">
        <v>15.8890865712048</v>
      </c>
    </row>
    <row r="317" spans="1:14" hidden="1" x14ac:dyDescent="0.3">
      <c r="A317" s="5">
        <v>31</v>
      </c>
      <c r="B317" s="5" t="str">
        <f>_xlfn.XLOOKUP(D317,'[1]Viirs77-Sol'!$C$2:$C$694,'[1]Viirs77-Sol'!$A$2:$A$694)</f>
        <v>TH-35</v>
      </c>
      <c r="C317" s="5" t="str">
        <f>_xlfn.XLOOKUP(D317,cleanprovinces!$B:$B,cleanprovinces!$A:$A)</f>
        <v>NE</v>
      </c>
      <c r="D317" s="5" t="s">
        <v>37</v>
      </c>
      <c r="E317" s="6">
        <v>2017</v>
      </c>
      <c r="F317" s="7" cm="1">
        <f t="array" ref="F317">_xlfn.XLOOKUP(D317&amp;E317,'[1]Viirs77-Sol'!$C$2:$C$694&amp;'[1]Viirs77-Sol'!$D$2:$D$694,'[1]Viirs77-Sol'!$E$2:$E$694)</f>
        <v>7705.0458129999997</v>
      </c>
      <c r="G317" s="7" cm="1">
        <f t="array" ref="G317">_xlfn.XLOOKUP(B317&amp;E317,'[2]Viirs77-Mean'!$A$2:$A$694&amp;'[2]Viirs77-Mean'!$D$2:$D$694,'[2]Viirs77-Mean'!$E$2:$E$694)</f>
        <v>0.38760344800000002</v>
      </c>
      <c r="H317" s="9" cm="1">
        <f t="array" ref="H317">_xlfn.XLOOKUP(D317,cleanprovinces!$B$2:$B$78,_xlfn.XLOOKUP(panel!E317,cleanprovinces!$C$1:$AC$1,cleanprovinces!$C$2:$AC$78,"no",0,1))</f>
        <v>16225</v>
      </c>
      <c r="I317" s="4">
        <f t="shared" si="13"/>
        <v>16225000000</v>
      </c>
      <c r="J317" s="3" cm="1">
        <f t="array" ref="J317">_xlfn.XLOOKUP(D317,[3]Sheet1!$B$2:$B$78,_xlfn.XLOOKUP(E317,[3]Sheet1!$C$1:$AC$1,[3]Sheet1!$C$2:$AC$78))</f>
        <v>467</v>
      </c>
      <c r="K317" s="3">
        <f t="shared" si="12"/>
        <v>467000</v>
      </c>
      <c r="L317" s="3">
        <f t="shared" si="14"/>
        <v>34743.040685224842</v>
      </c>
      <c r="M317" s="10">
        <v>104.338020193115</v>
      </c>
      <c r="N317" s="10">
        <v>15.8890865712048</v>
      </c>
    </row>
    <row r="318" spans="1:14" hidden="1" x14ac:dyDescent="0.3">
      <c r="A318" s="5">
        <v>31</v>
      </c>
      <c r="B318" s="5" t="str">
        <f>_xlfn.XLOOKUP(D318,'[1]Viirs77-Sol'!$C$2:$C$694,'[1]Viirs77-Sol'!$A$2:$A$694)</f>
        <v>TH-35</v>
      </c>
      <c r="C318" s="5" t="str">
        <f>_xlfn.XLOOKUP(D318,cleanprovinces!$B:$B,cleanprovinces!$A:$A)</f>
        <v>NE</v>
      </c>
      <c r="D318" s="5" t="s">
        <v>37</v>
      </c>
      <c r="E318" s="6">
        <v>2018</v>
      </c>
      <c r="F318" s="7" cm="1">
        <f t="array" ref="F318">_xlfn.XLOOKUP(D318&amp;E318,'[1]Viirs77-Sol'!$C$2:$C$694&amp;'[1]Viirs77-Sol'!$D$2:$D$694,'[1]Viirs77-Sol'!$E$2:$E$694)</f>
        <v>7884.9574469999998</v>
      </c>
      <c r="G318" s="7" cm="1">
        <f t="array" ref="G318">_xlfn.XLOOKUP(B318&amp;E318,'[2]Viirs77-Mean'!$A$2:$A$694&amp;'[2]Viirs77-Mean'!$D$2:$D$694,'[2]Viirs77-Mean'!$E$2:$E$694)</f>
        <v>0.39665392799999999</v>
      </c>
      <c r="H318" s="9" cm="1">
        <f t="array" ref="H318">_xlfn.XLOOKUP(D318,cleanprovinces!$B$2:$B$78,_xlfn.XLOOKUP(panel!E318,cleanprovinces!$C$1:$AC$1,cleanprovinces!$C$2:$AC$78,"no",0,1))</f>
        <v>16779</v>
      </c>
      <c r="I318" s="4">
        <f t="shared" si="13"/>
        <v>16779000000</v>
      </c>
      <c r="J318" s="3" cm="1">
        <f t="array" ref="J318">_xlfn.XLOOKUP(D318,[3]Sheet1!$B$2:$B$78,_xlfn.XLOOKUP(E318,[3]Sheet1!$C$1:$AC$1,[3]Sheet1!$C$2:$AC$78))</f>
        <v>463</v>
      </c>
      <c r="K318" s="3">
        <f t="shared" si="12"/>
        <v>463000</v>
      </c>
      <c r="L318" s="3">
        <f t="shared" si="14"/>
        <v>36239.74082073434</v>
      </c>
      <c r="M318" s="10">
        <v>104.338020193115</v>
      </c>
      <c r="N318" s="10">
        <v>15.8890865712048</v>
      </c>
    </row>
    <row r="319" spans="1:14" hidden="1" x14ac:dyDescent="0.3">
      <c r="A319" s="5">
        <v>31</v>
      </c>
      <c r="B319" s="5" t="str">
        <f>_xlfn.XLOOKUP(D319,'[1]Viirs77-Sol'!$C$2:$C$694,'[1]Viirs77-Sol'!$A$2:$A$694)</f>
        <v>TH-35</v>
      </c>
      <c r="C319" s="5" t="str">
        <f>_xlfn.XLOOKUP(D319,cleanprovinces!$B:$B,cleanprovinces!$A:$A)</f>
        <v>NE</v>
      </c>
      <c r="D319" s="5" t="s">
        <v>37</v>
      </c>
      <c r="E319" s="6">
        <v>2019</v>
      </c>
      <c r="F319" s="7" cm="1">
        <f t="array" ref="F319">_xlfn.XLOOKUP(D319&amp;E319,'[1]Viirs77-Sol'!$C$2:$C$694&amp;'[1]Viirs77-Sol'!$D$2:$D$694,'[1]Viirs77-Sol'!$E$2:$E$694)</f>
        <v>8107.0151880000003</v>
      </c>
      <c r="G319" s="7" cm="1">
        <f t="array" ref="G319">_xlfn.XLOOKUP(B319&amp;E319,'[2]Viirs77-Mean'!$A$2:$A$694&amp;'[2]Viirs77-Mean'!$D$2:$D$694,'[2]Viirs77-Mean'!$E$2:$E$694)</f>
        <v>0.40782457500000002</v>
      </c>
      <c r="H319" s="9" cm="1">
        <f t="array" ref="H319">_xlfn.XLOOKUP(D319,cleanprovinces!$B$2:$B$78,_xlfn.XLOOKUP(panel!E319,cleanprovinces!$C$1:$AC$1,cleanprovinces!$C$2:$AC$78,"no",0,1))</f>
        <v>16689</v>
      </c>
      <c r="I319" s="4">
        <f t="shared" si="13"/>
        <v>16689000000</v>
      </c>
      <c r="J319" s="3" cm="1">
        <f t="array" ref="J319">_xlfn.XLOOKUP(D319,[3]Sheet1!$B$2:$B$78,_xlfn.XLOOKUP(E319,[3]Sheet1!$C$1:$AC$1,[3]Sheet1!$C$2:$AC$78))</f>
        <v>459</v>
      </c>
      <c r="K319" s="3">
        <f t="shared" si="12"/>
        <v>459000</v>
      </c>
      <c r="L319" s="3">
        <f t="shared" si="14"/>
        <v>36359.477124183009</v>
      </c>
      <c r="M319" s="10">
        <v>104.338020193115</v>
      </c>
      <c r="N319" s="10">
        <v>15.8890865712048</v>
      </c>
    </row>
    <row r="320" spans="1:14" hidden="1" x14ac:dyDescent="0.3">
      <c r="A320" s="5">
        <v>31</v>
      </c>
      <c r="B320" s="5" t="str">
        <f>_xlfn.XLOOKUP(D320,'[1]Viirs77-Sol'!$C$2:$C$694,'[1]Viirs77-Sol'!$A$2:$A$694)</f>
        <v>TH-35</v>
      </c>
      <c r="C320" s="5" t="str">
        <f>_xlfn.XLOOKUP(D320,cleanprovinces!$B:$B,cleanprovinces!$A:$A)</f>
        <v>NE</v>
      </c>
      <c r="D320" s="5" t="s">
        <v>37</v>
      </c>
      <c r="E320" s="6">
        <v>2020</v>
      </c>
      <c r="F320" s="7" cm="1">
        <f t="array" ref="F320">_xlfn.XLOOKUP(D320&amp;E320,'[1]Viirs77-Sol'!$C$2:$C$694&amp;'[1]Viirs77-Sol'!$D$2:$D$694,'[1]Viirs77-Sol'!$E$2:$E$694)</f>
        <v>9429.2168600000005</v>
      </c>
      <c r="G320" s="7" cm="1">
        <f t="array" ref="G320">_xlfn.XLOOKUP(B320&amp;E320,'[2]Viirs77-Mean'!$A$2:$A$694&amp;'[2]Viirs77-Mean'!$D$2:$D$694,'[2]Viirs77-Mean'!$E$2:$E$694)</f>
        <v>0.47433812199999997</v>
      </c>
      <c r="H320" s="9" cm="1">
        <f t="array" ref="H320">_xlfn.XLOOKUP(D320,cleanprovinces!$B$2:$B$78,_xlfn.XLOOKUP(panel!E320,cleanprovinces!$C$1:$AC$1,cleanprovinces!$C$2:$AC$78,"no",0,1))</f>
        <v>17636</v>
      </c>
      <c r="I320" s="4">
        <f t="shared" si="13"/>
        <v>17636000000</v>
      </c>
      <c r="J320" s="3" cm="1">
        <f t="array" ref="J320">_xlfn.XLOOKUP(D320,[3]Sheet1!$B$2:$B$78,_xlfn.XLOOKUP(E320,[3]Sheet1!$C$1:$AC$1,[3]Sheet1!$C$2:$AC$78))</f>
        <v>455</v>
      </c>
      <c r="K320" s="3">
        <f t="shared" si="12"/>
        <v>455000</v>
      </c>
      <c r="L320" s="3">
        <f t="shared" si="14"/>
        <v>38760.439560439561</v>
      </c>
      <c r="M320" s="10">
        <v>104.338020193115</v>
      </c>
      <c r="N320" s="10">
        <v>15.8890865712048</v>
      </c>
    </row>
    <row r="321" spans="1:14" hidden="1" x14ac:dyDescent="0.3">
      <c r="A321" s="5">
        <v>31</v>
      </c>
      <c r="B321" s="5" t="str">
        <f>_xlfn.XLOOKUP(D321,'[1]Viirs77-Sol'!$C$2:$C$694,'[1]Viirs77-Sol'!$A$2:$A$694)</f>
        <v>TH-35</v>
      </c>
      <c r="C321" s="5" t="str">
        <f>_xlfn.XLOOKUP(D321,cleanprovinces!$B:$B,cleanprovinces!$A:$A)</f>
        <v>NE</v>
      </c>
      <c r="D321" s="5" t="s">
        <v>37</v>
      </c>
      <c r="E321" s="6">
        <v>2021</v>
      </c>
      <c r="F321" s="7" cm="1">
        <f t="array" ref="F321">_xlfn.XLOOKUP(D321&amp;E321,'[1]Viirs77-Sol'!$C$2:$C$694&amp;'[1]Viirs77-Sol'!$D$2:$D$694,'[1]Viirs77-Sol'!$E$2:$E$694)</f>
        <v>12082.11537</v>
      </c>
      <c r="G321" s="7" cm="1">
        <f t="array" ref="G321">_xlfn.XLOOKUP(B321&amp;E321,'[2]Viirs77-Mean'!$A$2:$A$694&amp;'[2]Viirs77-Mean'!$D$2:$D$694,'[2]Viirs77-Mean'!$E$2:$E$694)</f>
        <v>0.60779256699999995</v>
      </c>
      <c r="H321" s="9" cm="1">
        <f t="array" ref="H321">_xlfn.XLOOKUP(D321,cleanprovinces!$B$2:$B$78,_xlfn.XLOOKUP(panel!E321,cleanprovinces!$C$1:$AC$1,cleanprovinces!$C$2:$AC$78,"no",0,1))</f>
        <v>18311</v>
      </c>
      <c r="I321" s="4">
        <f t="shared" si="13"/>
        <v>18311000000</v>
      </c>
      <c r="J321" s="3" cm="1">
        <f t="array" ref="J321">_xlfn.XLOOKUP(D321,[3]Sheet1!$B$2:$B$78,_xlfn.XLOOKUP(E321,[3]Sheet1!$C$1:$AC$1,[3]Sheet1!$C$2:$AC$78))</f>
        <v>451</v>
      </c>
      <c r="K321" s="3">
        <f t="shared" si="12"/>
        <v>451000</v>
      </c>
      <c r="L321" s="3">
        <f t="shared" si="14"/>
        <v>40600.886917960088</v>
      </c>
      <c r="M321" s="10">
        <v>104.338020193115</v>
      </c>
      <c r="N321" s="10">
        <v>15.8890865712048</v>
      </c>
    </row>
    <row r="322" spans="1:14" hidden="1" x14ac:dyDescent="0.3">
      <c r="A322" s="5">
        <v>65</v>
      </c>
      <c r="B322" s="5" t="str">
        <f>_xlfn.XLOOKUP(D322,'[1]Viirs77-Sol'!$C$2:$C$694,'[1]Viirs77-Sol'!$A$2:$A$694)</f>
        <v>TH-50</v>
      </c>
      <c r="C322" s="5" t="str">
        <f>_xlfn.XLOOKUP(D322,cleanprovinces!$B:$B,cleanprovinces!$A:$A)</f>
        <v>NO</v>
      </c>
      <c r="D322" s="5" t="s">
        <v>48</v>
      </c>
      <c r="E322" s="6">
        <v>2014</v>
      </c>
      <c r="F322" s="7" cm="1">
        <f t="array" ref="F322">_xlfn.XLOOKUP(D322&amp;E322,'[1]Viirs77-Sol'!$C$2:$C$694&amp;'[1]Viirs77-Sol'!$D$2:$D$694,'[1]Viirs77-Sol'!$E$2:$E$694)</f>
        <v>36000.617610000001</v>
      </c>
      <c r="G322" s="7" cm="1">
        <f t="array" ref="G322">_xlfn.XLOOKUP(B322&amp;E322,'[2]Viirs77-Mean'!$A$2:$A$694&amp;'[2]Viirs77-Mean'!$D$2:$D$694,'[2]Viirs77-Mean'!$E$2:$E$694)</f>
        <v>0.32154262900000002</v>
      </c>
      <c r="H322" s="9" cm="1">
        <f t="array" ref="H322">_xlfn.XLOOKUP(D322,cleanprovinces!$B$2:$B$78,_xlfn.XLOOKUP(panel!E322,cleanprovinces!$C$1:$AC$1,cleanprovinces!$C$2:$AC$78,"no",0,1))</f>
        <v>123676</v>
      </c>
      <c r="I322" s="4">
        <f t="shared" si="13"/>
        <v>123676000000</v>
      </c>
      <c r="J322" s="3" cm="1">
        <f t="array" ref="J322">_xlfn.XLOOKUP(D322,[3]Sheet1!$B$2:$B$78,_xlfn.XLOOKUP(E322,[3]Sheet1!$C$1:$AC$1,[3]Sheet1!$C$2:$AC$78))</f>
        <v>1770</v>
      </c>
      <c r="K322" s="3">
        <f t="shared" ref="K322:K385" si="15">J322*1000</f>
        <v>1770000</v>
      </c>
      <c r="L322" s="3">
        <f t="shared" si="14"/>
        <v>69873.446327683618</v>
      </c>
      <c r="M322" s="10">
        <v>98.734067373639803</v>
      </c>
      <c r="N322" s="10">
        <v>18.787707177469901</v>
      </c>
    </row>
    <row r="323" spans="1:14" hidden="1" x14ac:dyDescent="0.3">
      <c r="A323" s="5">
        <v>65</v>
      </c>
      <c r="B323" s="5" t="str">
        <f>_xlfn.XLOOKUP(D323,'[1]Viirs77-Sol'!$C$2:$C$694,'[1]Viirs77-Sol'!$A$2:$A$694)</f>
        <v>TH-50</v>
      </c>
      <c r="C323" s="5" t="str">
        <f>_xlfn.XLOOKUP(D323,cleanprovinces!$B:$B,cleanprovinces!$A:$A)</f>
        <v>NO</v>
      </c>
      <c r="D323" s="5" t="s">
        <v>48</v>
      </c>
      <c r="E323" s="6">
        <v>2015</v>
      </c>
      <c r="F323" s="7" cm="1">
        <f t="array" ref="F323">_xlfn.XLOOKUP(D323&amp;E323,'[1]Viirs77-Sol'!$C$2:$C$694&amp;'[1]Viirs77-Sol'!$D$2:$D$694,'[1]Viirs77-Sol'!$E$2:$E$694)</f>
        <v>40131.996019999999</v>
      </c>
      <c r="G323" s="7" cm="1">
        <f t="array" ref="G323">_xlfn.XLOOKUP(B323&amp;E323,'[2]Viirs77-Mean'!$A$2:$A$694&amp;'[2]Viirs77-Mean'!$D$2:$D$694,'[2]Viirs77-Mean'!$E$2:$E$694)</f>
        <v>0.358442392</v>
      </c>
      <c r="H323" s="9" cm="1">
        <f t="array" ref="H323">_xlfn.XLOOKUP(D323,cleanprovinces!$B$2:$B$78,_xlfn.XLOOKUP(panel!E323,cleanprovinces!$C$1:$AC$1,cleanprovinces!$C$2:$AC$78,"no",0,1))</f>
        <v>127440</v>
      </c>
      <c r="I323" s="4">
        <f t="shared" ref="I323:I386" si="16">H323*1000000</f>
        <v>127440000000</v>
      </c>
      <c r="J323" s="3" cm="1">
        <f t="array" ref="J323">_xlfn.XLOOKUP(D323,[3]Sheet1!$B$2:$B$78,_xlfn.XLOOKUP(E323,[3]Sheet1!$C$1:$AC$1,[3]Sheet1!$C$2:$AC$78))</f>
        <v>1779</v>
      </c>
      <c r="K323" s="3">
        <f t="shared" si="15"/>
        <v>1779000</v>
      </c>
      <c r="L323" s="3">
        <f t="shared" ref="L323:L386" si="17">I323/K323</f>
        <v>71635.750421585166</v>
      </c>
      <c r="M323" s="10">
        <v>98.734067373639803</v>
      </c>
      <c r="N323" s="10">
        <v>18.787707177469901</v>
      </c>
    </row>
    <row r="324" spans="1:14" hidden="1" x14ac:dyDescent="0.3">
      <c r="A324" s="5">
        <v>65</v>
      </c>
      <c r="B324" s="5" t="str">
        <f>_xlfn.XLOOKUP(D324,'[1]Viirs77-Sol'!$C$2:$C$694,'[1]Viirs77-Sol'!$A$2:$A$694)</f>
        <v>TH-50</v>
      </c>
      <c r="C324" s="5" t="str">
        <f>_xlfn.XLOOKUP(D324,cleanprovinces!$B:$B,cleanprovinces!$A:$A)</f>
        <v>NO</v>
      </c>
      <c r="D324" s="5" t="s">
        <v>48</v>
      </c>
      <c r="E324" s="6">
        <v>2016</v>
      </c>
      <c r="F324" s="7" cm="1">
        <f t="array" ref="F324">_xlfn.XLOOKUP(D324&amp;E324,'[1]Viirs77-Sol'!$C$2:$C$694&amp;'[1]Viirs77-Sol'!$D$2:$D$694,'[1]Viirs77-Sol'!$E$2:$E$694)</f>
        <v>38427.837149999999</v>
      </c>
      <c r="G324" s="7" cm="1">
        <f t="array" ref="G324">_xlfn.XLOOKUP(B324&amp;E324,'[2]Viirs77-Mean'!$A$2:$A$694&amp;'[2]Viirs77-Mean'!$D$2:$D$694,'[2]Viirs77-Mean'!$E$2:$E$694)</f>
        <v>0.34322154999999999</v>
      </c>
      <c r="H324" s="9" cm="1">
        <f t="array" ref="H324">_xlfn.XLOOKUP(D324,cleanprovinces!$B$2:$B$78,_xlfn.XLOOKUP(panel!E324,cleanprovinces!$C$1:$AC$1,cleanprovinces!$C$2:$AC$78,"no",0,1))</f>
        <v>135350</v>
      </c>
      <c r="I324" s="4">
        <f t="shared" si="16"/>
        <v>135350000000</v>
      </c>
      <c r="J324" s="3" cm="1">
        <f t="array" ref="J324">_xlfn.XLOOKUP(D324,[3]Sheet1!$B$2:$B$78,_xlfn.XLOOKUP(E324,[3]Sheet1!$C$1:$AC$1,[3]Sheet1!$C$2:$AC$78))</f>
        <v>1787</v>
      </c>
      <c r="K324" s="3">
        <f t="shared" si="15"/>
        <v>1787000</v>
      </c>
      <c r="L324" s="3">
        <f t="shared" si="17"/>
        <v>75741.466144376056</v>
      </c>
      <c r="M324" s="10">
        <v>98.734067373639803</v>
      </c>
      <c r="N324" s="10">
        <v>18.787707177469901</v>
      </c>
    </row>
    <row r="325" spans="1:14" hidden="1" x14ac:dyDescent="0.3">
      <c r="A325" s="5">
        <v>65</v>
      </c>
      <c r="B325" s="5" t="str">
        <f>_xlfn.XLOOKUP(D325,'[1]Viirs77-Sol'!$C$2:$C$694,'[1]Viirs77-Sol'!$A$2:$A$694)</f>
        <v>TH-50</v>
      </c>
      <c r="C325" s="5" t="str">
        <f>_xlfn.XLOOKUP(D325,cleanprovinces!$B:$B,cleanprovinces!$A:$A)</f>
        <v>NO</v>
      </c>
      <c r="D325" s="5" t="s">
        <v>48</v>
      </c>
      <c r="E325" s="6">
        <v>2017</v>
      </c>
      <c r="F325" s="7" cm="1">
        <f t="array" ref="F325">_xlfn.XLOOKUP(D325&amp;E325,'[1]Viirs77-Sol'!$C$2:$C$694&amp;'[1]Viirs77-Sol'!$D$2:$D$694,'[1]Viirs77-Sol'!$E$2:$E$694)</f>
        <v>44544.013570000003</v>
      </c>
      <c r="G325" s="7" cm="1">
        <f t="array" ref="G325">_xlfn.XLOOKUP(B325&amp;E325,'[2]Viirs77-Mean'!$A$2:$A$694&amp;'[2]Viirs77-Mean'!$D$2:$D$694,'[2]Viirs77-Mean'!$E$2:$E$694)</f>
        <v>0.39784870900000002</v>
      </c>
      <c r="H325" s="9" cm="1">
        <f t="array" ref="H325">_xlfn.XLOOKUP(D325,cleanprovinces!$B$2:$B$78,_xlfn.XLOOKUP(panel!E325,cleanprovinces!$C$1:$AC$1,cleanprovinces!$C$2:$AC$78,"no",0,1))</f>
        <v>141094</v>
      </c>
      <c r="I325" s="4">
        <f t="shared" si="16"/>
        <v>141094000000</v>
      </c>
      <c r="J325" s="3" cm="1">
        <f t="array" ref="J325">_xlfn.XLOOKUP(D325,[3]Sheet1!$B$2:$B$78,_xlfn.XLOOKUP(E325,[3]Sheet1!$C$1:$AC$1,[3]Sheet1!$C$2:$AC$78))</f>
        <v>1796</v>
      </c>
      <c r="K325" s="3">
        <f t="shared" si="15"/>
        <v>1796000</v>
      </c>
      <c r="L325" s="3">
        <f t="shared" si="17"/>
        <v>78560.133630289536</v>
      </c>
      <c r="M325" s="10">
        <v>98.734067373639803</v>
      </c>
      <c r="N325" s="10">
        <v>18.787707177469901</v>
      </c>
    </row>
    <row r="326" spans="1:14" hidden="1" x14ac:dyDescent="0.3">
      <c r="A326" s="5">
        <v>65</v>
      </c>
      <c r="B326" s="5" t="str">
        <f>_xlfn.XLOOKUP(D326,'[1]Viirs77-Sol'!$C$2:$C$694,'[1]Viirs77-Sol'!$A$2:$A$694)</f>
        <v>TH-50</v>
      </c>
      <c r="C326" s="5" t="str">
        <f>_xlfn.XLOOKUP(D326,cleanprovinces!$B:$B,cleanprovinces!$A:$A)</f>
        <v>NO</v>
      </c>
      <c r="D326" s="5" t="s">
        <v>48</v>
      </c>
      <c r="E326" s="6">
        <v>2018</v>
      </c>
      <c r="F326" s="7" cm="1">
        <f t="array" ref="F326">_xlfn.XLOOKUP(D326&amp;E326,'[1]Viirs77-Sol'!$C$2:$C$694&amp;'[1]Viirs77-Sol'!$D$2:$D$694,'[1]Viirs77-Sol'!$E$2:$E$694)</f>
        <v>47060.944790000001</v>
      </c>
      <c r="G326" s="7" cm="1">
        <f t="array" ref="G326">_xlfn.XLOOKUP(B326&amp;E326,'[2]Viirs77-Mean'!$A$2:$A$694&amp;'[2]Viirs77-Mean'!$D$2:$D$694,'[2]Viirs77-Mean'!$E$2:$E$694)</f>
        <v>0.42032889800000001</v>
      </c>
      <c r="H326" s="9" cm="1">
        <f t="array" ref="H326">_xlfn.XLOOKUP(D326,cleanprovinces!$B$2:$B$78,_xlfn.XLOOKUP(panel!E326,cleanprovinces!$C$1:$AC$1,cleanprovinces!$C$2:$AC$78,"no",0,1))</f>
        <v>147257</v>
      </c>
      <c r="I326" s="4">
        <f t="shared" si="16"/>
        <v>147257000000</v>
      </c>
      <c r="J326" s="3" cm="1">
        <f t="array" ref="J326">_xlfn.XLOOKUP(D326,[3]Sheet1!$B$2:$B$78,_xlfn.XLOOKUP(E326,[3]Sheet1!$C$1:$AC$1,[3]Sheet1!$C$2:$AC$78))</f>
        <v>1805</v>
      </c>
      <c r="K326" s="3">
        <f t="shared" si="15"/>
        <v>1805000</v>
      </c>
      <c r="L326" s="3">
        <f t="shared" si="17"/>
        <v>81582.825484764544</v>
      </c>
      <c r="M326" s="10">
        <v>98.734067373639803</v>
      </c>
      <c r="N326" s="10">
        <v>18.787707177469901</v>
      </c>
    </row>
    <row r="327" spans="1:14" hidden="1" x14ac:dyDescent="0.3">
      <c r="A327" s="5">
        <v>65</v>
      </c>
      <c r="B327" s="5" t="str">
        <f>_xlfn.XLOOKUP(D327,'[1]Viirs77-Sol'!$C$2:$C$694,'[1]Viirs77-Sol'!$A$2:$A$694)</f>
        <v>TH-50</v>
      </c>
      <c r="C327" s="5" t="str">
        <f>_xlfn.XLOOKUP(D327,cleanprovinces!$B:$B,cleanprovinces!$A:$A)</f>
        <v>NO</v>
      </c>
      <c r="D327" s="5" t="s">
        <v>48</v>
      </c>
      <c r="E327" s="6">
        <v>2019</v>
      </c>
      <c r="F327" s="7" cm="1">
        <f t="array" ref="F327">_xlfn.XLOOKUP(D327&amp;E327,'[1]Viirs77-Sol'!$C$2:$C$694&amp;'[1]Viirs77-Sol'!$D$2:$D$694,'[1]Viirs77-Sol'!$E$2:$E$694)</f>
        <v>49161.984709999997</v>
      </c>
      <c r="G327" s="7" cm="1">
        <f t="array" ref="G327">_xlfn.XLOOKUP(B327&amp;E327,'[2]Viirs77-Mean'!$A$2:$A$694&amp;'[2]Viirs77-Mean'!$D$2:$D$694,'[2]Viirs77-Mean'!$E$2:$E$694)</f>
        <v>0.43909451700000002</v>
      </c>
      <c r="H327" s="9" cm="1">
        <f t="array" ref="H327">_xlfn.XLOOKUP(D327,cleanprovinces!$B$2:$B$78,_xlfn.XLOOKUP(panel!E327,cleanprovinces!$C$1:$AC$1,cleanprovinces!$C$2:$AC$78,"no",0,1))</f>
        <v>151983</v>
      </c>
      <c r="I327" s="4">
        <f t="shared" si="16"/>
        <v>151983000000</v>
      </c>
      <c r="J327" s="3" cm="1">
        <f t="array" ref="J327">_xlfn.XLOOKUP(D327,[3]Sheet1!$B$2:$B$78,_xlfn.XLOOKUP(E327,[3]Sheet1!$C$1:$AC$1,[3]Sheet1!$C$2:$AC$78))</f>
        <v>1803</v>
      </c>
      <c r="K327" s="3">
        <f t="shared" si="15"/>
        <v>1803000</v>
      </c>
      <c r="L327" s="3">
        <f t="shared" si="17"/>
        <v>84294.509151414313</v>
      </c>
      <c r="M327" s="10">
        <v>98.734067373639803</v>
      </c>
      <c r="N327" s="10">
        <v>18.787707177469901</v>
      </c>
    </row>
    <row r="328" spans="1:14" hidden="1" x14ac:dyDescent="0.3">
      <c r="A328" s="5">
        <v>65</v>
      </c>
      <c r="B328" s="5" t="str">
        <f>_xlfn.XLOOKUP(D328,'[1]Viirs77-Sol'!$C$2:$C$694,'[1]Viirs77-Sol'!$A$2:$A$694)</f>
        <v>TH-50</v>
      </c>
      <c r="C328" s="5" t="str">
        <f>_xlfn.XLOOKUP(D328,cleanprovinces!$B:$B,cleanprovinces!$A:$A)</f>
        <v>NO</v>
      </c>
      <c r="D328" s="5" t="s">
        <v>48</v>
      </c>
      <c r="E328" s="6">
        <v>2020</v>
      </c>
      <c r="F328" s="7" cm="1">
        <f t="array" ref="F328">_xlfn.XLOOKUP(D328&amp;E328,'[1]Viirs77-Sol'!$C$2:$C$694&amp;'[1]Viirs77-Sol'!$D$2:$D$694,'[1]Viirs77-Sol'!$E$2:$E$694)</f>
        <v>51309.208030000002</v>
      </c>
      <c r="G328" s="7" cm="1">
        <f t="array" ref="G328">_xlfn.XLOOKUP(B328&amp;E328,'[2]Viirs77-Mean'!$A$2:$A$694&amp;'[2]Viirs77-Mean'!$D$2:$D$694,'[2]Viirs77-Mean'!$E$2:$E$694)</f>
        <v>0.45827262800000002</v>
      </c>
      <c r="H328" s="9" cm="1">
        <f t="array" ref="H328">_xlfn.XLOOKUP(D328,cleanprovinces!$B$2:$B$78,_xlfn.XLOOKUP(panel!E328,cleanprovinces!$C$1:$AC$1,cleanprovinces!$C$2:$AC$78,"no",0,1))</f>
        <v>142780</v>
      </c>
      <c r="I328" s="4">
        <f t="shared" si="16"/>
        <v>142780000000</v>
      </c>
      <c r="J328" s="3" cm="1">
        <f t="array" ref="J328">_xlfn.XLOOKUP(D328,[3]Sheet1!$B$2:$B$78,_xlfn.XLOOKUP(E328,[3]Sheet1!$C$1:$AC$1,[3]Sheet1!$C$2:$AC$78))</f>
        <v>1801</v>
      </c>
      <c r="K328" s="3">
        <f t="shared" si="15"/>
        <v>1801000</v>
      </c>
      <c r="L328" s="3">
        <f t="shared" si="17"/>
        <v>79278.178789561352</v>
      </c>
      <c r="M328" s="10">
        <v>98.734067373639803</v>
      </c>
      <c r="N328" s="10">
        <v>18.787707177469901</v>
      </c>
    </row>
    <row r="329" spans="1:14" hidden="1" x14ac:dyDescent="0.3">
      <c r="A329" s="5">
        <v>65</v>
      </c>
      <c r="B329" s="5" t="str">
        <f>_xlfn.XLOOKUP(D329,'[1]Viirs77-Sol'!$C$2:$C$694,'[1]Viirs77-Sol'!$A$2:$A$694)</f>
        <v>TH-50</v>
      </c>
      <c r="C329" s="5" t="str">
        <f>_xlfn.XLOOKUP(D329,cleanprovinces!$B:$B,cleanprovinces!$A:$A)</f>
        <v>NO</v>
      </c>
      <c r="D329" s="8" t="s">
        <v>48</v>
      </c>
      <c r="E329" s="6">
        <v>2021</v>
      </c>
      <c r="F329" s="7" cm="1">
        <f t="array" ref="F329">_xlfn.XLOOKUP(D329&amp;E329,'[1]Viirs77-Sol'!$C$2:$C$694&amp;'[1]Viirs77-Sol'!$D$2:$D$694,'[1]Viirs77-Sol'!$E$2:$E$694)</f>
        <v>52659.045879999998</v>
      </c>
      <c r="G329" s="7" cm="1">
        <f t="array" ref="G329">_xlfn.XLOOKUP(B329&amp;E329,'[2]Viirs77-Mean'!$A$2:$A$694&amp;'[2]Viirs77-Mean'!$D$2:$D$694,'[2]Viirs77-Mean'!$E$2:$E$694)</f>
        <v>0.47032882100000001</v>
      </c>
      <c r="H329" s="9" cm="1">
        <f t="array" ref="H329">_xlfn.XLOOKUP(D329,cleanprovinces!$B$2:$B$78,_xlfn.XLOOKUP(panel!E329,cleanprovinces!$C$1:$AC$1,cleanprovinces!$C$2:$AC$78,"no",0,1))</f>
        <v>141701</v>
      </c>
      <c r="I329" s="4">
        <f t="shared" si="16"/>
        <v>141701000000</v>
      </c>
      <c r="J329" s="3" cm="1">
        <f t="array" ref="J329">_xlfn.XLOOKUP(D329,[3]Sheet1!$B$2:$B$78,_xlfn.XLOOKUP(E329,[3]Sheet1!$C$1:$AC$1,[3]Sheet1!$C$2:$AC$78))</f>
        <v>1798</v>
      </c>
      <c r="K329" s="3">
        <f t="shared" si="15"/>
        <v>1798000</v>
      </c>
      <c r="L329" s="3">
        <f t="shared" si="17"/>
        <v>78810.344827586203</v>
      </c>
      <c r="M329" s="10">
        <v>98.734067373639803</v>
      </c>
      <c r="N329" s="10">
        <v>18.787707177469901</v>
      </c>
    </row>
    <row r="330" spans="1:14" hidden="1" x14ac:dyDescent="0.3">
      <c r="A330" s="5">
        <v>25</v>
      </c>
      <c r="B330" s="5" t="str">
        <f>_xlfn.XLOOKUP(D330,'[1]Viirs77-Sol'!$C$2:$C$694,'[1]Viirs77-Sol'!$A$2:$A$694)</f>
        <v>TH-57</v>
      </c>
      <c r="C330" s="5" t="str">
        <f>_xlfn.XLOOKUP(D330,cleanprovinces!$B:$B,cleanprovinces!$A:$A)</f>
        <v>NO</v>
      </c>
      <c r="D330" s="5" t="s">
        <v>52</v>
      </c>
      <c r="E330" s="6">
        <v>2014</v>
      </c>
      <c r="F330" s="7" cm="1">
        <f t="array" ref="F330">_xlfn.XLOOKUP(D330&amp;E330,'[1]Viirs77-Sol'!$C$2:$C$694&amp;'[1]Viirs77-Sol'!$D$2:$D$694,'[1]Viirs77-Sol'!$E$2:$E$694)</f>
        <v>16862.458009999998</v>
      </c>
      <c r="G330" s="7" cm="1">
        <f t="array" ref="G330">_xlfn.XLOOKUP(B330&amp;E330,'[2]Viirs77-Mean'!$A$2:$A$694&amp;'[2]Viirs77-Mean'!$D$2:$D$694,'[2]Viirs77-Mean'!$E$2:$E$694)</f>
        <v>0.29776224400000001</v>
      </c>
      <c r="H330" s="9" cm="1">
        <f t="array" ref="H330">_xlfn.XLOOKUP(D330,cleanprovinces!$B$2:$B$78,_xlfn.XLOOKUP(panel!E330,cleanprovinces!$C$1:$AC$1,cleanprovinces!$C$2:$AC$78,"no",0,1))</f>
        <v>50354</v>
      </c>
      <c r="I330" s="4">
        <f t="shared" si="16"/>
        <v>50354000000</v>
      </c>
      <c r="J330" s="3" cm="1">
        <f t="array" ref="J330">_xlfn.XLOOKUP(D330,[3]Sheet1!$B$2:$B$78,_xlfn.XLOOKUP(E330,[3]Sheet1!$C$1:$AC$1,[3]Sheet1!$C$2:$AC$78))</f>
        <v>1164</v>
      </c>
      <c r="K330" s="3">
        <f t="shared" si="15"/>
        <v>1164000</v>
      </c>
      <c r="L330" s="3">
        <f t="shared" si="17"/>
        <v>43259.450171821307</v>
      </c>
      <c r="M330" s="10">
        <v>99.873717493377796</v>
      </c>
      <c r="N330" s="10">
        <v>19.847354687906101</v>
      </c>
    </row>
    <row r="331" spans="1:14" hidden="1" x14ac:dyDescent="0.3">
      <c r="A331" s="5">
        <v>25</v>
      </c>
      <c r="B331" s="5" t="str">
        <f>_xlfn.XLOOKUP(D331,'[1]Viirs77-Sol'!$C$2:$C$694,'[1]Viirs77-Sol'!$A$2:$A$694)</f>
        <v>TH-57</v>
      </c>
      <c r="C331" s="5" t="str">
        <f>_xlfn.XLOOKUP(D331,cleanprovinces!$B:$B,cleanprovinces!$A:$A)</f>
        <v>NO</v>
      </c>
      <c r="D331" s="5" t="s">
        <v>52</v>
      </c>
      <c r="E331" s="6">
        <v>2015</v>
      </c>
      <c r="F331" s="7" cm="1">
        <f t="array" ref="F331">_xlfn.XLOOKUP(D331&amp;E331,'[1]Viirs77-Sol'!$C$2:$C$694&amp;'[1]Viirs77-Sol'!$D$2:$D$694,'[1]Viirs77-Sol'!$E$2:$E$694)</f>
        <v>19753.583340000001</v>
      </c>
      <c r="G331" s="7" cm="1">
        <f t="array" ref="G331">_xlfn.XLOOKUP(B331&amp;E331,'[2]Viirs77-Mean'!$A$2:$A$694&amp;'[2]Viirs77-Mean'!$D$2:$D$694,'[2]Viirs77-Mean'!$E$2:$E$694)</f>
        <v>0.34881458500000001</v>
      </c>
      <c r="H331" s="9" cm="1">
        <f t="array" ref="H331">_xlfn.XLOOKUP(D331,cleanprovinces!$B$2:$B$78,_xlfn.XLOOKUP(panel!E331,cleanprovinces!$C$1:$AC$1,cleanprovinces!$C$2:$AC$78,"no",0,1))</f>
        <v>51317</v>
      </c>
      <c r="I331" s="4">
        <f t="shared" si="16"/>
        <v>51317000000</v>
      </c>
      <c r="J331" s="3" cm="1">
        <f t="array" ref="J331">_xlfn.XLOOKUP(D331,[3]Sheet1!$B$2:$B$78,_xlfn.XLOOKUP(E331,[3]Sheet1!$C$1:$AC$1,[3]Sheet1!$C$2:$AC$78))</f>
        <v>1162</v>
      </c>
      <c r="K331" s="3">
        <f t="shared" si="15"/>
        <v>1162000</v>
      </c>
      <c r="L331" s="3">
        <f t="shared" si="17"/>
        <v>44162.650602409638</v>
      </c>
      <c r="M331" s="10">
        <v>99.873717493377796</v>
      </c>
      <c r="N331" s="10">
        <v>19.847354687906101</v>
      </c>
    </row>
    <row r="332" spans="1:14" hidden="1" x14ac:dyDescent="0.3">
      <c r="A332" s="5">
        <v>25</v>
      </c>
      <c r="B332" s="5" t="str">
        <f>_xlfn.XLOOKUP(D332,'[1]Viirs77-Sol'!$C$2:$C$694,'[1]Viirs77-Sol'!$A$2:$A$694)</f>
        <v>TH-57</v>
      </c>
      <c r="C332" s="5" t="str">
        <f>_xlfn.XLOOKUP(D332,cleanprovinces!$B:$B,cleanprovinces!$A:$A)</f>
        <v>NO</v>
      </c>
      <c r="D332" s="5" t="s">
        <v>52</v>
      </c>
      <c r="E332" s="6">
        <v>2016</v>
      </c>
      <c r="F332" s="7" cm="1">
        <f t="array" ref="F332">_xlfn.XLOOKUP(D332&amp;E332,'[1]Viirs77-Sol'!$C$2:$C$694&amp;'[1]Viirs77-Sol'!$D$2:$D$694,'[1]Viirs77-Sol'!$E$2:$E$694)</f>
        <v>19133.469229999999</v>
      </c>
      <c r="G332" s="7" cm="1">
        <f t="array" ref="G332">_xlfn.XLOOKUP(B332&amp;E332,'[2]Viirs77-Mean'!$A$2:$A$694&amp;'[2]Viirs77-Mean'!$D$2:$D$694,'[2]Viirs77-Mean'!$E$2:$E$694)</f>
        <v>0.33786442799999999</v>
      </c>
      <c r="H332" s="9" cm="1">
        <f t="array" ref="H332">_xlfn.XLOOKUP(D332,cleanprovinces!$B$2:$B$78,_xlfn.XLOOKUP(panel!E332,cleanprovinces!$C$1:$AC$1,cleanprovinces!$C$2:$AC$78,"no",0,1))</f>
        <v>52466</v>
      </c>
      <c r="I332" s="4">
        <f t="shared" si="16"/>
        <v>52466000000</v>
      </c>
      <c r="J332" s="3" cm="1">
        <f t="array" ref="J332">_xlfn.XLOOKUP(D332,[3]Sheet1!$B$2:$B$78,_xlfn.XLOOKUP(E332,[3]Sheet1!$C$1:$AC$1,[3]Sheet1!$C$2:$AC$78))</f>
        <v>1160</v>
      </c>
      <c r="K332" s="3">
        <f t="shared" si="15"/>
        <v>1160000</v>
      </c>
      <c r="L332" s="3">
        <f t="shared" si="17"/>
        <v>45229.310344827587</v>
      </c>
      <c r="M332" s="10">
        <v>99.873717493377796</v>
      </c>
      <c r="N332" s="10">
        <v>19.847354687906101</v>
      </c>
    </row>
    <row r="333" spans="1:14" hidden="1" x14ac:dyDescent="0.3">
      <c r="A333" s="5">
        <v>25</v>
      </c>
      <c r="B333" s="5" t="str">
        <f>_xlfn.XLOOKUP(D333,'[1]Viirs77-Sol'!$C$2:$C$694,'[1]Viirs77-Sol'!$A$2:$A$694)</f>
        <v>TH-57</v>
      </c>
      <c r="C333" s="5" t="str">
        <f>_xlfn.XLOOKUP(D333,cleanprovinces!$B:$B,cleanprovinces!$A:$A)</f>
        <v>NO</v>
      </c>
      <c r="D333" s="5" t="s">
        <v>52</v>
      </c>
      <c r="E333" s="6">
        <v>2017</v>
      </c>
      <c r="F333" s="7" cm="1">
        <f t="array" ref="F333">_xlfn.XLOOKUP(D333&amp;E333,'[1]Viirs77-Sol'!$C$2:$C$694&amp;'[1]Viirs77-Sol'!$D$2:$D$694,'[1]Viirs77-Sol'!$E$2:$E$694)</f>
        <v>24405.470529999999</v>
      </c>
      <c r="G333" s="7" cm="1">
        <f t="array" ref="G333">_xlfn.XLOOKUP(B333&amp;E333,'[2]Viirs77-Mean'!$A$2:$A$694&amp;'[2]Viirs77-Mean'!$D$2:$D$694,'[2]Viirs77-Mean'!$E$2:$E$694)</f>
        <v>0.43095897700000002</v>
      </c>
      <c r="H333" s="9" cm="1">
        <f t="array" ref="H333">_xlfn.XLOOKUP(D333,cleanprovinces!$B$2:$B$78,_xlfn.XLOOKUP(panel!E333,cleanprovinces!$C$1:$AC$1,cleanprovinces!$C$2:$AC$78,"no",0,1))</f>
        <v>54822</v>
      </c>
      <c r="I333" s="4">
        <f t="shared" si="16"/>
        <v>54822000000</v>
      </c>
      <c r="J333" s="3" cm="1">
        <f t="array" ref="J333">_xlfn.XLOOKUP(D333,[3]Sheet1!$B$2:$B$78,_xlfn.XLOOKUP(E333,[3]Sheet1!$C$1:$AC$1,[3]Sheet1!$C$2:$AC$78))</f>
        <v>1158</v>
      </c>
      <c r="K333" s="3">
        <f t="shared" si="15"/>
        <v>1158000</v>
      </c>
      <c r="L333" s="3">
        <f t="shared" si="17"/>
        <v>47341.968911917102</v>
      </c>
      <c r="M333" s="10">
        <v>99.873717493377796</v>
      </c>
      <c r="N333" s="10">
        <v>19.847354687906101</v>
      </c>
    </row>
    <row r="334" spans="1:14" hidden="1" x14ac:dyDescent="0.3">
      <c r="A334" s="5">
        <v>25</v>
      </c>
      <c r="B334" s="5" t="str">
        <f>_xlfn.XLOOKUP(D334,'[1]Viirs77-Sol'!$C$2:$C$694,'[1]Viirs77-Sol'!$A$2:$A$694)</f>
        <v>TH-57</v>
      </c>
      <c r="C334" s="5" t="str">
        <f>_xlfn.XLOOKUP(D334,cleanprovinces!$B:$B,cleanprovinces!$A:$A)</f>
        <v>NO</v>
      </c>
      <c r="D334" s="5" t="s">
        <v>52</v>
      </c>
      <c r="E334" s="6">
        <v>2018</v>
      </c>
      <c r="F334" s="7" cm="1">
        <f t="array" ref="F334">_xlfn.XLOOKUP(D334&amp;E334,'[1]Viirs77-Sol'!$C$2:$C$694&amp;'[1]Viirs77-Sol'!$D$2:$D$694,'[1]Viirs77-Sol'!$E$2:$E$694)</f>
        <v>25376.27492</v>
      </c>
      <c r="G334" s="7" cm="1">
        <f t="array" ref="G334">_xlfn.XLOOKUP(B334&amp;E334,'[2]Viirs77-Mean'!$A$2:$A$694&amp;'[2]Viirs77-Mean'!$D$2:$D$694,'[2]Viirs77-Mean'!$E$2:$E$694)</f>
        <v>0.44810172700000001</v>
      </c>
      <c r="H334" s="9" cm="1">
        <f t="array" ref="H334">_xlfn.XLOOKUP(D334,cleanprovinces!$B$2:$B$78,_xlfn.XLOOKUP(panel!E334,cleanprovinces!$C$1:$AC$1,cleanprovinces!$C$2:$AC$78,"no",0,1))</f>
        <v>54575</v>
      </c>
      <c r="I334" s="4">
        <f t="shared" si="16"/>
        <v>54575000000</v>
      </c>
      <c r="J334" s="3" cm="1">
        <f t="array" ref="J334">_xlfn.XLOOKUP(D334,[3]Sheet1!$B$2:$B$78,_xlfn.XLOOKUP(E334,[3]Sheet1!$C$1:$AC$1,[3]Sheet1!$C$2:$AC$78))</f>
        <v>1156</v>
      </c>
      <c r="K334" s="3">
        <f t="shared" si="15"/>
        <v>1156000</v>
      </c>
      <c r="L334" s="3">
        <f t="shared" si="17"/>
        <v>47210.207612456747</v>
      </c>
      <c r="M334" s="10">
        <v>99.873717493377796</v>
      </c>
      <c r="N334" s="10">
        <v>19.847354687906101</v>
      </c>
    </row>
    <row r="335" spans="1:14" hidden="1" x14ac:dyDescent="0.3">
      <c r="A335" s="5">
        <v>25</v>
      </c>
      <c r="B335" s="5" t="str">
        <f>_xlfn.XLOOKUP(D335,'[1]Viirs77-Sol'!$C$2:$C$694,'[1]Viirs77-Sol'!$A$2:$A$694)</f>
        <v>TH-57</v>
      </c>
      <c r="C335" s="5" t="str">
        <f>_xlfn.XLOOKUP(D335,cleanprovinces!$B:$B,cleanprovinces!$A:$A)</f>
        <v>NO</v>
      </c>
      <c r="D335" s="5" t="s">
        <v>52</v>
      </c>
      <c r="E335" s="6">
        <v>2019</v>
      </c>
      <c r="F335" s="7" cm="1">
        <f t="array" ref="F335">_xlfn.XLOOKUP(D335&amp;E335,'[1]Viirs77-Sol'!$C$2:$C$694&amp;'[1]Viirs77-Sol'!$D$2:$D$694,'[1]Viirs77-Sol'!$E$2:$E$694)</f>
        <v>28179.56293</v>
      </c>
      <c r="G335" s="7" cm="1">
        <f t="array" ref="G335">_xlfn.XLOOKUP(B335&amp;E335,'[2]Viirs77-Mean'!$A$2:$A$694&amp;'[2]Viirs77-Mean'!$D$2:$D$694,'[2]Viirs77-Mean'!$E$2:$E$694)</f>
        <v>0.49760301099999998</v>
      </c>
      <c r="H335" s="9" cm="1">
        <f t="array" ref="H335">_xlfn.XLOOKUP(D335,cleanprovinces!$B$2:$B$78,_xlfn.XLOOKUP(panel!E335,cleanprovinces!$C$1:$AC$1,cleanprovinces!$C$2:$AC$78,"no",0,1))</f>
        <v>54261</v>
      </c>
      <c r="I335" s="4">
        <f t="shared" si="16"/>
        <v>54261000000</v>
      </c>
      <c r="J335" s="3" cm="1">
        <f t="array" ref="J335">_xlfn.XLOOKUP(D335,[3]Sheet1!$B$2:$B$78,_xlfn.XLOOKUP(E335,[3]Sheet1!$C$1:$AC$1,[3]Sheet1!$C$2:$AC$78))</f>
        <v>1151</v>
      </c>
      <c r="K335" s="3">
        <f t="shared" si="15"/>
        <v>1151000</v>
      </c>
      <c r="L335" s="3">
        <f t="shared" si="17"/>
        <v>47142.48479582971</v>
      </c>
      <c r="M335" s="10">
        <v>99.873717493377796</v>
      </c>
      <c r="N335" s="10">
        <v>19.847354687906101</v>
      </c>
    </row>
    <row r="336" spans="1:14" hidden="1" x14ac:dyDescent="0.3">
      <c r="A336" s="5">
        <v>25</v>
      </c>
      <c r="B336" s="5" t="str">
        <f>_xlfn.XLOOKUP(D336,'[1]Viirs77-Sol'!$C$2:$C$694,'[1]Viirs77-Sol'!$A$2:$A$694)</f>
        <v>TH-57</v>
      </c>
      <c r="C336" s="5" t="str">
        <f>_xlfn.XLOOKUP(D336,cleanprovinces!$B:$B,cleanprovinces!$A:$A)</f>
        <v>NO</v>
      </c>
      <c r="D336" s="5" t="s">
        <v>52</v>
      </c>
      <c r="E336" s="6">
        <v>2020</v>
      </c>
      <c r="F336" s="7" cm="1">
        <f t="array" ref="F336">_xlfn.XLOOKUP(D336&amp;E336,'[1]Viirs77-Sol'!$C$2:$C$694&amp;'[1]Viirs77-Sol'!$D$2:$D$694,'[1]Viirs77-Sol'!$E$2:$E$694)</f>
        <v>31554.275750000001</v>
      </c>
      <c r="G336" s="7" cm="1">
        <f t="array" ref="G336">_xlfn.XLOOKUP(B336&amp;E336,'[2]Viirs77-Mean'!$A$2:$A$694&amp;'[2]Viirs77-Mean'!$D$2:$D$694,'[2]Viirs77-Mean'!$E$2:$E$694)</f>
        <v>0.55719468299999997</v>
      </c>
      <c r="H336" s="9" cm="1">
        <f t="array" ref="H336">_xlfn.XLOOKUP(D336,cleanprovinces!$B$2:$B$78,_xlfn.XLOOKUP(panel!E336,cleanprovinces!$C$1:$AC$1,cleanprovinces!$C$2:$AC$78,"no",0,1))</f>
        <v>51818</v>
      </c>
      <c r="I336" s="4">
        <f t="shared" si="16"/>
        <v>51818000000</v>
      </c>
      <c r="J336" s="3" cm="1">
        <f t="array" ref="J336">_xlfn.XLOOKUP(D336,[3]Sheet1!$B$2:$B$78,_xlfn.XLOOKUP(E336,[3]Sheet1!$C$1:$AC$1,[3]Sheet1!$C$2:$AC$78))</f>
        <v>1147</v>
      </c>
      <c r="K336" s="3">
        <f t="shared" si="15"/>
        <v>1147000</v>
      </c>
      <c r="L336" s="3">
        <f t="shared" si="17"/>
        <v>45176.98343504795</v>
      </c>
      <c r="M336" s="10">
        <v>99.873717493377796</v>
      </c>
      <c r="N336" s="10">
        <v>19.847354687906101</v>
      </c>
    </row>
    <row r="337" spans="1:14" hidden="1" x14ac:dyDescent="0.3">
      <c r="A337" s="5">
        <v>25</v>
      </c>
      <c r="B337" s="5" t="str">
        <f>_xlfn.XLOOKUP(D337,'[1]Viirs77-Sol'!$C$2:$C$694,'[1]Viirs77-Sol'!$A$2:$A$694)</f>
        <v>TH-57</v>
      </c>
      <c r="C337" s="5" t="str">
        <f>_xlfn.XLOOKUP(D337,cleanprovinces!$B:$B,cleanprovinces!$A:$A)</f>
        <v>NO</v>
      </c>
      <c r="D337" s="5" t="s">
        <v>52</v>
      </c>
      <c r="E337" s="6">
        <v>2021</v>
      </c>
      <c r="F337" s="7" cm="1">
        <f t="array" ref="F337">_xlfn.XLOOKUP(D337&amp;E337,'[1]Viirs77-Sol'!$C$2:$C$694&amp;'[1]Viirs77-Sol'!$D$2:$D$694,'[1]Viirs77-Sol'!$E$2:$E$694)</f>
        <v>33584.075790000003</v>
      </c>
      <c r="G337" s="7" cm="1">
        <f t="array" ref="G337">_xlfn.XLOOKUP(B337&amp;E337,'[2]Viirs77-Mean'!$A$2:$A$694&amp;'[2]Viirs77-Mean'!$D$2:$D$694,'[2]Viirs77-Mean'!$E$2:$E$694)</f>
        <v>0.59303748899999997</v>
      </c>
      <c r="H337" s="9" cm="1">
        <f t="array" ref="H337">_xlfn.XLOOKUP(D337,cleanprovinces!$B$2:$B$78,_xlfn.XLOOKUP(panel!E337,cleanprovinces!$C$1:$AC$1,cleanprovinces!$C$2:$AC$78,"no",0,1))</f>
        <v>52763</v>
      </c>
      <c r="I337" s="4">
        <f t="shared" si="16"/>
        <v>52763000000</v>
      </c>
      <c r="J337" s="3" cm="1">
        <f t="array" ref="J337">_xlfn.XLOOKUP(D337,[3]Sheet1!$B$2:$B$78,_xlfn.XLOOKUP(E337,[3]Sheet1!$C$1:$AC$1,[3]Sheet1!$C$2:$AC$78))</f>
        <v>1142</v>
      </c>
      <c r="K337" s="3">
        <f t="shared" si="15"/>
        <v>1142000</v>
      </c>
      <c r="L337" s="3">
        <f t="shared" si="17"/>
        <v>46202.276707530647</v>
      </c>
      <c r="M337" s="10">
        <v>99.873717493377796</v>
      </c>
      <c r="N337" s="10">
        <v>19.847354687906101</v>
      </c>
    </row>
    <row r="338" spans="1:14" hidden="1" x14ac:dyDescent="0.3">
      <c r="A338" s="5">
        <v>36</v>
      </c>
      <c r="B338" s="5" t="str">
        <f>_xlfn.XLOOKUP(D338,'[1]Viirs77-Sol'!$C$2:$C$694,'[1]Viirs77-Sol'!$A$2:$A$694)</f>
        <v>TH-62</v>
      </c>
      <c r="C338" s="5" t="str">
        <f>_xlfn.XLOOKUP(D338,cleanprovinces!$B:$B,cleanprovinces!$A:$A)</f>
        <v>NO</v>
      </c>
      <c r="D338" s="5" t="s">
        <v>59</v>
      </c>
      <c r="E338" s="6">
        <v>2014</v>
      </c>
      <c r="F338" s="7" cm="1">
        <f t="array" ref="F338">_xlfn.XLOOKUP(D338&amp;E338,'[1]Viirs77-Sol'!$C$2:$C$694&amp;'[1]Viirs77-Sol'!$D$2:$D$694,'[1]Viirs77-Sol'!$E$2:$E$694)</f>
        <v>11363.245999999999</v>
      </c>
      <c r="G338" s="7" cm="1">
        <f t="array" ref="G338">_xlfn.XLOOKUP(B338&amp;E338,'[2]Viirs77-Mean'!$A$2:$A$694&amp;'[2]Viirs77-Mean'!$D$2:$D$694,'[2]Viirs77-Mean'!$E$2:$E$694)</f>
        <v>0.27693553399999998</v>
      </c>
      <c r="H338" s="9" cm="1">
        <f t="array" ref="H338">_xlfn.XLOOKUP(D338,cleanprovinces!$B$2:$B$78,_xlfn.XLOOKUP(panel!E338,cleanprovinces!$C$1:$AC$1,cleanprovinces!$C$2:$AC$78,"no",0,1))</f>
        <v>59081</v>
      </c>
      <c r="I338" s="4">
        <f t="shared" si="16"/>
        <v>59081000000</v>
      </c>
      <c r="J338" s="3" cm="1">
        <f t="array" ref="J338">_xlfn.XLOOKUP(D338,[3]Sheet1!$B$2:$B$78,_xlfn.XLOOKUP(E338,[3]Sheet1!$C$1:$AC$1,[3]Sheet1!$C$2:$AC$78))</f>
        <v>789</v>
      </c>
      <c r="K338" s="3">
        <f t="shared" si="15"/>
        <v>789000</v>
      </c>
      <c r="L338" s="3">
        <f t="shared" si="17"/>
        <v>74880.861850443602</v>
      </c>
      <c r="M338" s="10">
        <v>99.518405267639906</v>
      </c>
      <c r="N338" s="10">
        <v>16.3367261121365</v>
      </c>
    </row>
    <row r="339" spans="1:14" hidden="1" x14ac:dyDescent="0.3">
      <c r="A339" s="5">
        <v>36</v>
      </c>
      <c r="B339" s="5" t="str">
        <f>_xlfn.XLOOKUP(D339,'[1]Viirs77-Sol'!$C$2:$C$694,'[1]Viirs77-Sol'!$A$2:$A$694)</f>
        <v>TH-62</v>
      </c>
      <c r="C339" s="5" t="str">
        <f>_xlfn.XLOOKUP(D339,cleanprovinces!$B:$B,cleanprovinces!$A:$A)</f>
        <v>NO</v>
      </c>
      <c r="D339" s="5" t="s">
        <v>59</v>
      </c>
      <c r="E339" s="6">
        <v>2015</v>
      </c>
      <c r="F339" s="7" cm="1">
        <f t="array" ref="F339">_xlfn.XLOOKUP(D339&amp;E339,'[1]Viirs77-Sol'!$C$2:$C$694&amp;'[1]Viirs77-Sol'!$D$2:$D$694,'[1]Viirs77-Sol'!$E$2:$E$694)</f>
        <v>13693.730729999999</v>
      </c>
      <c r="G339" s="7" cm="1">
        <f t="array" ref="G339">_xlfn.XLOOKUP(B339&amp;E339,'[2]Viirs77-Mean'!$A$2:$A$694&amp;'[2]Viirs77-Mean'!$D$2:$D$694,'[2]Viirs77-Mean'!$E$2:$E$694)</f>
        <v>0.33373216100000003</v>
      </c>
      <c r="H339" s="9" cm="1">
        <f t="array" ref="H339">_xlfn.XLOOKUP(D339,cleanprovinces!$B$2:$B$78,_xlfn.XLOOKUP(panel!E339,cleanprovinces!$C$1:$AC$1,cleanprovinces!$C$2:$AC$78,"no",0,1))</f>
        <v>60816</v>
      </c>
      <c r="I339" s="4">
        <f t="shared" si="16"/>
        <v>60816000000</v>
      </c>
      <c r="J339" s="3" cm="1">
        <f t="array" ref="J339">_xlfn.XLOOKUP(D339,[3]Sheet1!$B$2:$B$78,_xlfn.XLOOKUP(E339,[3]Sheet1!$C$1:$AC$1,[3]Sheet1!$C$2:$AC$78))</f>
        <v>787</v>
      </c>
      <c r="K339" s="3">
        <f t="shared" si="15"/>
        <v>787000</v>
      </c>
      <c r="L339" s="3">
        <f t="shared" si="17"/>
        <v>77275.730622617528</v>
      </c>
      <c r="M339" s="10">
        <v>99.518405267639906</v>
      </c>
      <c r="N339" s="10">
        <v>16.3367261121365</v>
      </c>
    </row>
    <row r="340" spans="1:14" hidden="1" x14ac:dyDescent="0.3">
      <c r="A340" s="5">
        <v>36</v>
      </c>
      <c r="B340" s="5" t="str">
        <f>_xlfn.XLOOKUP(D340,'[1]Viirs77-Sol'!$C$2:$C$694,'[1]Viirs77-Sol'!$A$2:$A$694)</f>
        <v>TH-62</v>
      </c>
      <c r="C340" s="5" t="str">
        <f>_xlfn.XLOOKUP(D340,cleanprovinces!$B:$B,cleanprovinces!$A:$A)</f>
        <v>NO</v>
      </c>
      <c r="D340" s="5" t="s">
        <v>59</v>
      </c>
      <c r="E340" s="6">
        <v>2016</v>
      </c>
      <c r="F340" s="7" cm="1">
        <f t="array" ref="F340">_xlfn.XLOOKUP(D340&amp;E340,'[1]Viirs77-Sol'!$C$2:$C$694&amp;'[1]Viirs77-Sol'!$D$2:$D$694,'[1]Viirs77-Sol'!$E$2:$E$694)</f>
        <v>13878.48069</v>
      </c>
      <c r="G340" s="7" cm="1">
        <f t="array" ref="G340">_xlfn.XLOOKUP(B340&amp;E340,'[2]Viirs77-Mean'!$A$2:$A$694&amp;'[2]Viirs77-Mean'!$D$2:$D$694,'[2]Viirs77-Mean'!$E$2:$E$694)</f>
        <v>0.33823473199999998</v>
      </c>
      <c r="H340" s="9" cm="1">
        <f t="array" ref="H340">_xlfn.XLOOKUP(D340,cleanprovinces!$B$2:$B$78,_xlfn.XLOOKUP(panel!E340,cleanprovinces!$C$1:$AC$1,cleanprovinces!$C$2:$AC$78,"no",0,1))</f>
        <v>64681</v>
      </c>
      <c r="I340" s="4">
        <f t="shared" si="16"/>
        <v>64681000000</v>
      </c>
      <c r="J340" s="3" cm="1">
        <f t="array" ref="J340">_xlfn.XLOOKUP(D340,[3]Sheet1!$B$2:$B$78,_xlfn.XLOOKUP(E340,[3]Sheet1!$C$1:$AC$1,[3]Sheet1!$C$2:$AC$78))</f>
        <v>785</v>
      </c>
      <c r="K340" s="3">
        <f t="shared" si="15"/>
        <v>785000</v>
      </c>
      <c r="L340" s="3">
        <f t="shared" si="17"/>
        <v>82396.178343949039</v>
      </c>
      <c r="M340" s="10">
        <v>99.518405267639906</v>
      </c>
      <c r="N340" s="10">
        <v>16.3367261121365</v>
      </c>
    </row>
    <row r="341" spans="1:14" hidden="1" x14ac:dyDescent="0.3">
      <c r="A341" s="5">
        <v>36</v>
      </c>
      <c r="B341" s="5" t="str">
        <f>_xlfn.XLOOKUP(D341,'[1]Viirs77-Sol'!$C$2:$C$694,'[1]Viirs77-Sol'!$A$2:$A$694)</f>
        <v>TH-62</v>
      </c>
      <c r="C341" s="5" t="str">
        <f>_xlfn.XLOOKUP(D341,cleanprovinces!$B:$B,cleanprovinces!$A:$A)</f>
        <v>NO</v>
      </c>
      <c r="D341" s="5" t="s">
        <v>59</v>
      </c>
      <c r="E341" s="6">
        <v>2017</v>
      </c>
      <c r="F341" s="7" cm="1">
        <f t="array" ref="F341">_xlfn.XLOOKUP(D341&amp;E341,'[1]Viirs77-Sol'!$C$2:$C$694&amp;'[1]Viirs77-Sol'!$D$2:$D$694,'[1]Viirs77-Sol'!$E$2:$E$694)</f>
        <v>17726.75603</v>
      </c>
      <c r="G341" s="7" cm="1">
        <f t="array" ref="G341">_xlfn.XLOOKUP(B341&amp;E341,'[2]Viirs77-Mean'!$A$2:$A$694&amp;'[2]Viirs77-Mean'!$D$2:$D$694,'[2]Viirs77-Mean'!$E$2:$E$694)</f>
        <v>0.43202168200000002</v>
      </c>
      <c r="H341" s="9" cm="1">
        <f t="array" ref="H341">_xlfn.XLOOKUP(D341,cleanprovinces!$B$2:$B$78,_xlfn.XLOOKUP(panel!E341,cleanprovinces!$C$1:$AC$1,cleanprovinces!$C$2:$AC$78,"no",0,1))</f>
        <v>65486</v>
      </c>
      <c r="I341" s="4">
        <f t="shared" si="16"/>
        <v>65486000000</v>
      </c>
      <c r="J341" s="3" cm="1">
        <f t="array" ref="J341">_xlfn.XLOOKUP(D341,[3]Sheet1!$B$2:$B$78,_xlfn.XLOOKUP(E341,[3]Sheet1!$C$1:$AC$1,[3]Sheet1!$C$2:$AC$78))</f>
        <v>783</v>
      </c>
      <c r="K341" s="3">
        <f t="shared" si="15"/>
        <v>783000</v>
      </c>
      <c r="L341" s="3">
        <f t="shared" si="17"/>
        <v>83634.738186462331</v>
      </c>
      <c r="M341" s="10">
        <v>99.518405267639906</v>
      </c>
      <c r="N341" s="10">
        <v>16.3367261121365</v>
      </c>
    </row>
    <row r="342" spans="1:14" hidden="1" x14ac:dyDescent="0.3">
      <c r="A342" s="5">
        <v>36</v>
      </c>
      <c r="B342" s="5" t="str">
        <f>_xlfn.XLOOKUP(D342,'[1]Viirs77-Sol'!$C$2:$C$694,'[1]Viirs77-Sol'!$A$2:$A$694)</f>
        <v>TH-62</v>
      </c>
      <c r="C342" s="5" t="str">
        <f>_xlfn.XLOOKUP(D342,cleanprovinces!$B:$B,cleanprovinces!$A:$A)</f>
        <v>NO</v>
      </c>
      <c r="D342" s="5" t="s">
        <v>59</v>
      </c>
      <c r="E342" s="6">
        <v>2018</v>
      </c>
      <c r="F342" s="7" cm="1">
        <f t="array" ref="F342">_xlfn.XLOOKUP(D342&amp;E342,'[1]Viirs77-Sol'!$C$2:$C$694&amp;'[1]Viirs77-Sol'!$D$2:$D$694,'[1]Viirs77-Sol'!$E$2:$E$694)</f>
        <v>18134.88969</v>
      </c>
      <c r="G342" s="7" cm="1">
        <f t="array" ref="G342">_xlfn.XLOOKUP(B342&amp;E342,'[2]Viirs77-Mean'!$A$2:$A$694&amp;'[2]Viirs77-Mean'!$D$2:$D$694,'[2]Viirs77-Mean'!$E$2:$E$694)</f>
        <v>0.44196837500000002</v>
      </c>
      <c r="H342" s="9" cm="1">
        <f t="array" ref="H342">_xlfn.XLOOKUP(D342,cleanprovinces!$B$2:$B$78,_xlfn.XLOOKUP(panel!E342,cleanprovinces!$C$1:$AC$1,cleanprovinces!$C$2:$AC$78,"no",0,1))</f>
        <v>68290</v>
      </c>
      <c r="I342" s="4">
        <f t="shared" si="16"/>
        <v>68290000000</v>
      </c>
      <c r="J342" s="3" cm="1">
        <f t="array" ref="J342">_xlfn.XLOOKUP(D342,[3]Sheet1!$B$2:$B$78,_xlfn.XLOOKUP(E342,[3]Sheet1!$C$1:$AC$1,[3]Sheet1!$C$2:$AC$78))</f>
        <v>781</v>
      </c>
      <c r="K342" s="3">
        <f t="shared" si="15"/>
        <v>781000</v>
      </c>
      <c r="L342" s="3">
        <f t="shared" si="17"/>
        <v>87439.180537772088</v>
      </c>
      <c r="M342" s="10">
        <v>99.518405267639906</v>
      </c>
      <c r="N342" s="10">
        <v>16.3367261121365</v>
      </c>
    </row>
    <row r="343" spans="1:14" hidden="1" x14ac:dyDescent="0.3">
      <c r="A343" s="5">
        <v>36</v>
      </c>
      <c r="B343" s="5" t="str">
        <f>_xlfn.XLOOKUP(D343,'[1]Viirs77-Sol'!$C$2:$C$694,'[1]Viirs77-Sol'!$A$2:$A$694)</f>
        <v>TH-62</v>
      </c>
      <c r="C343" s="5" t="str">
        <f>_xlfn.XLOOKUP(D343,cleanprovinces!$B:$B,cleanprovinces!$A:$A)</f>
        <v>NO</v>
      </c>
      <c r="D343" s="5" t="s">
        <v>59</v>
      </c>
      <c r="E343" s="6">
        <v>2019</v>
      </c>
      <c r="F343" s="7" cm="1">
        <f t="array" ref="F343">_xlfn.XLOOKUP(D343&amp;E343,'[1]Viirs77-Sol'!$C$2:$C$694&amp;'[1]Viirs77-Sol'!$D$2:$D$694,'[1]Viirs77-Sol'!$E$2:$E$694)</f>
        <v>18996.946739999999</v>
      </c>
      <c r="G343" s="7" cm="1">
        <f t="array" ref="G343">_xlfn.XLOOKUP(B343&amp;E343,'[2]Viirs77-Mean'!$A$2:$A$694&amp;'[2]Viirs77-Mean'!$D$2:$D$694,'[2]Viirs77-Mean'!$E$2:$E$694)</f>
        <v>0.46297770900000002</v>
      </c>
      <c r="H343" s="9" cm="1">
        <f t="array" ref="H343">_xlfn.XLOOKUP(D343,cleanprovinces!$B$2:$B$78,_xlfn.XLOOKUP(panel!E343,cleanprovinces!$C$1:$AC$1,cleanprovinces!$C$2:$AC$78,"no",0,1))</f>
        <v>70162</v>
      </c>
      <c r="I343" s="4">
        <f t="shared" si="16"/>
        <v>70162000000</v>
      </c>
      <c r="J343" s="3" cm="1">
        <f t="array" ref="J343">_xlfn.XLOOKUP(D343,[3]Sheet1!$B$2:$B$78,_xlfn.XLOOKUP(E343,[3]Sheet1!$C$1:$AC$1,[3]Sheet1!$C$2:$AC$78))</f>
        <v>781</v>
      </c>
      <c r="K343" s="3">
        <f t="shared" si="15"/>
        <v>781000</v>
      </c>
      <c r="L343" s="3">
        <f t="shared" si="17"/>
        <v>89836.107554417409</v>
      </c>
      <c r="M343" s="10">
        <v>99.518405267639906</v>
      </c>
      <c r="N343" s="10">
        <v>16.3367261121365</v>
      </c>
    </row>
    <row r="344" spans="1:14" hidden="1" x14ac:dyDescent="0.3">
      <c r="A344" s="5">
        <v>36</v>
      </c>
      <c r="B344" s="5" t="str">
        <f>_xlfn.XLOOKUP(D344,'[1]Viirs77-Sol'!$C$2:$C$694,'[1]Viirs77-Sol'!$A$2:$A$694)</f>
        <v>TH-62</v>
      </c>
      <c r="C344" s="5" t="str">
        <f>_xlfn.XLOOKUP(D344,cleanprovinces!$B:$B,cleanprovinces!$A:$A)</f>
        <v>NO</v>
      </c>
      <c r="D344" s="5" t="s">
        <v>59</v>
      </c>
      <c r="E344" s="6">
        <v>2020</v>
      </c>
      <c r="F344" s="7" cm="1">
        <f t="array" ref="F344">_xlfn.XLOOKUP(D344&amp;E344,'[1]Viirs77-Sol'!$C$2:$C$694&amp;'[1]Viirs77-Sol'!$D$2:$D$694,'[1]Viirs77-Sol'!$E$2:$E$694)</f>
        <v>20517.878059999999</v>
      </c>
      <c r="G344" s="7" cm="1">
        <f t="array" ref="G344">_xlfn.XLOOKUP(B344&amp;E344,'[2]Viirs77-Mean'!$A$2:$A$694&amp;'[2]Viirs77-Mean'!$D$2:$D$694,'[2]Viirs77-Mean'!$E$2:$E$694)</f>
        <v>0.50004457599999996</v>
      </c>
      <c r="H344" s="9" cm="1">
        <f t="array" ref="H344">_xlfn.XLOOKUP(D344,cleanprovinces!$B$2:$B$78,_xlfn.XLOOKUP(panel!E344,cleanprovinces!$C$1:$AC$1,cleanprovinces!$C$2:$AC$78,"no",0,1))</f>
        <v>64489</v>
      </c>
      <c r="I344" s="4">
        <f t="shared" si="16"/>
        <v>64489000000</v>
      </c>
      <c r="J344" s="3" cm="1">
        <f t="array" ref="J344">_xlfn.XLOOKUP(D344,[3]Sheet1!$B$2:$B$78,_xlfn.XLOOKUP(E344,[3]Sheet1!$C$1:$AC$1,[3]Sheet1!$C$2:$AC$78))</f>
        <v>781</v>
      </c>
      <c r="K344" s="3">
        <f t="shared" si="15"/>
        <v>781000</v>
      </c>
      <c r="L344" s="3">
        <f t="shared" si="17"/>
        <v>82572.343149807944</v>
      </c>
      <c r="M344" s="10">
        <v>99.518405267639906</v>
      </c>
      <c r="N344" s="10">
        <v>16.3367261121365</v>
      </c>
    </row>
    <row r="345" spans="1:14" hidden="1" x14ac:dyDescent="0.3">
      <c r="A345" s="5">
        <v>36</v>
      </c>
      <c r="B345" s="5" t="str">
        <f>_xlfn.XLOOKUP(D345,'[1]Viirs77-Sol'!$C$2:$C$694,'[1]Viirs77-Sol'!$A$2:$A$694)</f>
        <v>TH-62</v>
      </c>
      <c r="C345" s="5" t="str">
        <f>_xlfn.XLOOKUP(D345,cleanprovinces!$B:$B,cleanprovinces!$A:$A)</f>
        <v>NO</v>
      </c>
      <c r="D345" s="5" t="s">
        <v>59</v>
      </c>
      <c r="E345" s="6">
        <v>2021</v>
      </c>
      <c r="F345" s="7" cm="1">
        <f t="array" ref="F345">_xlfn.XLOOKUP(D345&amp;E345,'[1]Viirs77-Sol'!$C$2:$C$694&amp;'[1]Viirs77-Sol'!$D$2:$D$694,'[1]Viirs77-Sol'!$E$2:$E$694)</f>
        <v>25371.536489999999</v>
      </c>
      <c r="G345" s="7" cm="1">
        <f t="array" ref="G345">_xlfn.XLOOKUP(B345&amp;E345,'[2]Viirs77-Mean'!$A$2:$A$694&amp;'[2]Viirs77-Mean'!$D$2:$D$694,'[2]Viirs77-Mean'!$E$2:$E$694)</f>
        <v>0.61833388300000003</v>
      </c>
      <c r="H345" s="9" cm="1">
        <f t="array" ref="H345">_xlfn.XLOOKUP(D345,cleanprovinces!$B$2:$B$78,_xlfn.XLOOKUP(panel!E345,cleanprovinces!$C$1:$AC$1,cleanprovinces!$C$2:$AC$78,"no",0,1))</f>
        <v>63289</v>
      </c>
      <c r="I345" s="4">
        <f t="shared" si="16"/>
        <v>63289000000</v>
      </c>
      <c r="J345" s="3" cm="1">
        <f t="array" ref="J345">_xlfn.XLOOKUP(D345,[3]Sheet1!$B$2:$B$78,_xlfn.XLOOKUP(E345,[3]Sheet1!$C$1:$AC$1,[3]Sheet1!$C$2:$AC$78))</f>
        <v>781</v>
      </c>
      <c r="K345" s="3">
        <f t="shared" si="15"/>
        <v>781000</v>
      </c>
      <c r="L345" s="3">
        <f t="shared" si="17"/>
        <v>81035.851472471186</v>
      </c>
      <c r="M345" s="10">
        <v>99.518405267639906</v>
      </c>
      <c r="N345" s="10">
        <v>16.3367261121365</v>
      </c>
    </row>
    <row r="346" spans="1:14" hidden="1" x14ac:dyDescent="0.3">
      <c r="A346" s="5">
        <v>37</v>
      </c>
      <c r="B346" s="5" t="str">
        <f>_xlfn.XLOOKUP(D346,'[1]Viirs77-Sol'!$C$2:$C$694,'[1]Viirs77-Sol'!$A$2:$A$694)</f>
        <v>TH-52</v>
      </c>
      <c r="C346" s="5" t="str">
        <f>_xlfn.XLOOKUP(D346,cleanprovinces!$B:$B,cleanprovinces!$A:$A)</f>
        <v>NO</v>
      </c>
      <c r="D346" s="5" t="s">
        <v>49</v>
      </c>
      <c r="E346" s="6">
        <v>2014</v>
      </c>
      <c r="F346" s="7" cm="1">
        <f t="array" ref="F346">_xlfn.XLOOKUP(D346&amp;E346,'[1]Viirs77-Sol'!$C$2:$C$694&amp;'[1]Viirs77-Sol'!$D$2:$D$694,'[1]Viirs77-Sol'!$E$2:$E$694)</f>
        <v>13393.02881</v>
      </c>
      <c r="G346" s="7" cm="1">
        <f t="array" ref="G346">_xlfn.XLOOKUP(B346&amp;E346,'[2]Viirs77-Mean'!$A$2:$A$694&amp;'[2]Viirs77-Mean'!$D$2:$D$694,'[2]Viirs77-Mean'!$E$2:$E$694)</f>
        <v>0.21476579000000001</v>
      </c>
      <c r="H346" s="9" cm="1">
        <f t="array" ref="H346">_xlfn.XLOOKUP(D346,cleanprovinces!$B$2:$B$78,_xlfn.XLOOKUP(panel!E346,cleanprovinces!$C$1:$AC$1,cleanprovinces!$C$2:$AC$78,"no",0,1))</f>
        <v>40948</v>
      </c>
      <c r="I346" s="4">
        <f t="shared" si="16"/>
        <v>40948000000</v>
      </c>
      <c r="J346" s="3" cm="1">
        <f t="array" ref="J346">_xlfn.XLOOKUP(D346,[3]Sheet1!$B$2:$B$78,_xlfn.XLOOKUP(E346,[3]Sheet1!$C$1:$AC$1,[3]Sheet1!$C$2:$AC$78))</f>
        <v>732</v>
      </c>
      <c r="K346" s="3">
        <f t="shared" si="15"/>
        <v>732000</v>
      </c>
      <c r="L346" s="3">
        <f t="shared" si="17"/>
        <v>55939.890710382511</v>
      </c>
      <c r="M346" s="10">
        <v>99.513472029334494</v>
      </c>
      <c r="N346" s="10">
        <v>18.335857259800601</v>
      </c>
    </row>
    <row r="347" spans="1:14" hidden="1" x14ac:dyDescent="0.3">
      <c r="A347" s="5">
        <v>37</v>
      </c>
      <c r="B347" s="5" t="str">
        <f>_xlfn.XLOOKUP(D347,'[1]Viirs77-Sol'!$C$2:$C$694,'[1]Viirs77-Sol'!$A$2:$A$694)</f>
        <v>TH-52</v>
      </c>
      <c r="C347" s="5" t="str">
        <f>_xlfn.XLOOKUP(D347,cleanprovinces!$B:$B,cleanprovinces!$A:$A)</f>
        <v>NO</v>
      </c>
      <c r="D347" s="5" t="s">
        <v>49</v>
      </c>
      <c r="E347" s="6">
        <v>2015</v>
      </c>
      <c r="F347" s="7" cm="1">
        <f t="array" ref="F347">_xlfn.XLOOKUP(D347&amp;E347,'[1]Viirs77-Sol'!$C$2:$C$694&amp;'[1]Viirs77-Sol'!$D$2:$D$694,'[1]Viirs77-Sol'!$E$2:$E$694)</f>
        <v>15504.51993</v>
      </c>
      <c r="G347" s="7" cm="1">
        <f t="array" ref="G347">_xlfn.XLOOKUP(B347&amp;E347,'[2]Viirs77-Mean'!$A$2:$A$694&amp;'[2]Viirs77-Mean'!$D$2:$D$694,'[2]Viirs77-Mean'!$E$2:$E$694)</f>
        <v>0.24862490200000001</v>
      </c>
      <c r="H347" s="9" cm="1">
        <f t="array" ref="H347">_xlfn.XLOOKUP(D347,cleanprovinces!$B$2:$B$78,_xlfn.XLOOKUP(panel!E347,cleanprovinces!$C$1:$AC$1,cleanprovinces!$C$2:$AC$78,"no",0,1))</f>
        <v>40386</v>
      </c>
      <c r="I347" s="4">
        <f t="shared" si="16"/>
        <v>40386000000</v>
      </c>
      <c r="J347" s="3" cm="1">
        <f t="array" ref="J347">_xlfn.XLOOKUP(D347,[3]Sheet1!$B$2:$B$78,_xlfn.XLOOKUP(E347,[3]Sheet1!$C$1:$AC$1,[3]Sheet1!$C$2:$AC$78))</f>
        <v>729</v>
      </c>
      <c r="K347" s="3">
        <f t="shared" si="15"/>
        <v>729000</v>
      </c>
      <c r="L347" s="3">
        <f t="shared" si="17"/>
        <v>55399.176954732509</v>
      </c>
      <c r="M347" s="10">
        <v>99.513472029334494</v>
      </c>
      <c r="N347" s="10">
        <v>18.335857259800601</v>
      </c>
    </row>
    <row r="348" spans="1:14" hidden="1" x14ac:dyDescent="0.3">
      <c r="A348" s="5">
        <v>37</v>
      </c>
      <c r="B348" s="5" t="str">
        <f>_xlfn.XLOOKUP(D348,'[1]Viirs77-Sol'!$C$2:$C$694,'[1]Viirs77-Sol'!$A$2:$A$694)</f>
        <v>TH-52</v>
      </c>
      <c r="C348" s="5" t="str">
        <f>_xlfn.XLOOKUP(D348,cleanprovinces!$B:$B,cleanprovinces!$A:$A)</f>
        <v>NO</v>
      </c>
      <c r="D348" s="5" t="s">
        <v>49</v>
      </c>
      <c r="E348" s="6">
        <v>2016</v>
      </c>
      <c r="F348" s="7" cm="1">
        <f t="array" ref="F348">_xlfn.XLOOKUP(D348&amp;E348,'[1]Viirs77-Sol'!$C$2:$C$694&amp;'[1]Viirs77-Sol'!$D$2:$D$694,'[1]Viirs77-Sol'!$E$2:$E$694)</f>
        <v>14917.26679</v>
      </c>
      <c r="G348" s="7" cm="1">
        <f t="array" ref="G348">_xlfn.XLOOKUP(B348&amp;E348,'[2]Viirs77-Mean'!$A$2:$A$694&amp;'[2]Viirs77-Mean'!$D$2:$D$694,'[2]Viirs77-Mean'!$E$2:$E$694)</f>
        <v>0.23920792199999999</v>
      </c>
      <c r="H348" s="9" cm="1">
        <f t="array" ref="H348">_xlfn.XLOOKUP(D348,cleanprovinces!$B$2:$B$78,_xlfn.XLOOKUP(panel!E348,cleanprovinces!$C$1:$AC$1,cleanprovinces!$C$2:$AC$78,"no",0,1))</f>
        <v>41177</v>
      </c>
      <c r="I348" s="4">
        <f t="shared" si="16"/>
        <v>41177000000</v>
      </c>
      <c r="J348" s="3" cm="1">
        <f t="array" ref="J348">_xlfn.XLOOKUP(D348,[3]Sheet1!$B$2:$B$78,_xlfn.XLOOKUP(E348,[3]Sheet1!$C$1:$AC$1,[3]Sheet1!$C$2:$AC$78))</f>
        <v>723</v>
      </c>
      <c r="K348" s="3">
        <f t="shared" si="15"/>
        <v>723000</v>
      </c>
      <c r="L348" s="3">
        <f t="shared" si="17"/>
        <v>56952.973720608577</v>
      </c>
      <c r="M348" s="10">
        <v>99.513472029334494</v>
      </c>
      <c r="N348" s="10">
        <v>18.335857259800601</v>
      </c>
    </row>
    <row r="349" spans="1:14" hidden="1" x14ac:dyDescent="0.3">
      <c r="A349" s="5">
        <v>37</v>
      </c>
      <c r="B349" s="5" t="str">
        <f>_xlfn.XLOOKUP(D349,'[1]Viirs77-Sol'!$C$2:$C$694,'[1]Viirs77-Sol'!$A$2:$A$694)</f>
        <v>TH-52</v>
      </c>
      <c r="C349" s="5" t="str">
        <f>_xlfn.XLOOKUP(D349,cleanprovinces!$B:$B,cleanprovinces!$A:$A)</f>
        <v>NO</v>
      </c>
      <c r="D349" s="5" t="s">
        <v>49</v>
      </c>
      <c r="E349" s="6">
        <v>2017</v>
      </c>
      <c r="F349" s="7" cm="1">
        <f t="array" ref="F349">_xlfn.XLOOKUP(D349&amp;E349,'[1]Viirs77-Sol'!$C$2:$C$694&amp;'[1]Viirs77-Sol'!$D$2:$D$694,'[1]Viirs77-Sol'!$E$2:$E$694)</f>
        <v>19466.393609999999</v>
      </c>
      <c r="G349" s="7" cm="1">
        <f t="array" ref="G349">_xlfn.XLOOKUP(B349&amp;E349,'[2]Viirs77-Mean'!$A$2:$A$694&amp;'[2]Viirs77-Mean'!$D$2:$D$694,'[2]Viirs77-Mean'!$E$2:$E$694)</f>
        <v>0.312156082</v>
      </c>
      <c r="H349" s="9" cm="1">
        <f t="array" ref="H349">_xlfn.XLOOKUP(D349,cleanprovinces!$B$2:$B$78,_xlfn.XLOOKUP(panel!E349,cleanprovinces!$C$1:$AC$1,cleanprovinces!$C$2:$AC$78,"no",0,1))</f>
        <v>42072</v>
      </c>
      <c r="I349" s="4">
        <f t="shared" si="16"/>
        <v>42072000000</v>
      </c>
      <c r="J349" s="3" cm="1">
        <f t="array" ref="J349">_xlfn.XLOOKUP(D349,[3]Sheet1!$B$2:$B$78,_xlfn.XLOOKUP(E349,[3]Sheet1!$C$1:$AC$1,[3]Sheet1!$C$2:$AC$78))</f>
        <v>720</v>
      </c>
      <c r="K349" s="3">
        <f t="shared" si="15"/>
        <v>720000</v>
      </c>
      <c r="L349" s="3">
        <f t="shared" si="17"/>
        <v>58433.333333333336</v>
      </c>
      <c r="M349" s="10">
        <v>99.513472029334494</v>
      </c>
      <c r="N349" s="10">
        <v>18.335857259800601</v>
      </c>
    </row>
    <row r="350" spans="1:14" hidden="1" x14ac:dyDescent="0.3">
      <c r="A350" s="5">
        <v>37</v>
      </c>
      <c r="B350" s="5" t="str">
        <f>_xlfn.XLOOKUP(D350,'[1]Viirs77-Sol'!$C$2:$C$694,'[1]Viirs77-Sol'!$A$2:$A$694)</f>
        <v>TH-52</v>
      </c>
      <c r="C350" s="5" t="str">
        <f>_xlfn.XLOOKUP(D350,cleanprovinces!$B:$B,cleanprovinces!$A:$A)</f>
        <v>NO</v>
      </c>
      <c r="D350" s="5" t="s">
        <v>49</v>
      </c>
      <c r="E350" s="6">
        <v>2018</v>
      </c>
      <c r="F350" s="7" cm="1">
        <f t="array" ref="F350">_xlfn.XLOOKUP(D350&amp;E350,'[1]Viirs77-Sol'!$C$2:$C$694&amp;'[1]Viirs77-Sol'!$D$2:$D$694,'[1]Viirs77-Sol'!$E$2:$E$694)</f>
        <v>21107.09995</v>
      </c>
      <c r="G350" s="7" cm="1">
        <f t="array" ref="G350">_xlfn.XLOOKUP(B350&amp;E350,'[2]Viirs77-Mean'!$A$2:$A$694&amp;'[2]Viirs77-Mean'!$D$2:$D$694,'[2]Viirs77-Mean'!$E$2:$E$694)</f>
        <v>0.33846585899999998</v>
      </c>
      <c r="H350" s="9" cm="1">
        <f t="array" ref="H350">_xlfn.XLOOKUP(D350,cleanprovinces!$B$2:$B$78,_xlfn.XLOOKUP(panel!E350,cleanprovinces!$C$1:$AC$1,cleanprovinces!$C$2:$AC$78,"no",0,1))</f>
        <v>42360</v>
      </c>
      <c r="I350" s="4">
        <f t="shared" si="16"/>
        <v>42360000000</v>
      </c>
      <c r="J350" s="3" cm="1">
        <f t="array" ref="J350">_xlfn.XLOOKUP(D350,[3]Sheet1!$B$2:$B$78,_xlfn.XLOOKUP(E350,[3]Sheet1!$C$1:$AC$1,[3]Sheet1!$C$2:$AC$78))</f>
        <v>714</v>
      </c>
      <c r="K350" s="3">
        <f t="shared" si="15"/>
        <v>714000</v>
      </c>
      <c r="L350" s="3">
        <f t="shared" si="17"/>
        <v>59327.731092436974</v>
      </c>
      <c r="M350" s="10">
        <v>99.513472029334494</v>
      </c>
      <c r="N350" s="10">
        <v>18.335857259800601</v>
      </c>
    </row>
    <row r="351" spans="1:14" hidden="1" x14ac:dyDescent="0.3">
      <c r="A351" s="5">
        <v>37</v>
      </c>
      <c r="B351" s="5" t="str">
        <f>_xlfn.XLOOKUP(D351,'[1]Viirs77-Sol'!$C$2:$C$694,'[1]Viirs77-Sol'!$A$2:$A$694)</f>
        <v>TH-52</v>
      </c>
      <c r="C351" s="5" t="str">
        <f>_xlfn.XLOOKUP(D351,cleanprovinces!$B:$B,cleanprovinces!$A:$A)</f>
        <v>NO</v>
      </c>
      <c r="D351" s="5" t="s">
        <v>49</v>
      </c>
      <c r="E351" s="6">
        <v>2019</v>
      </c>
      <c r="F351" s="7" cm="1">
        <f t="array" ref="F351">_xlfn.XLOOKUP(D351&amp;E351,'[1]Viirs77-Sol'!$C$2:$C$694&amp;'[1]Viirs77-Sol'!$D$2:$D$694,'[1]Viirs77-Sol'!$E$2:$E$694)</f>
        <v>22767.444159999999</v>
      </c>
      <c r="G351" s="7" cm="1">
        <f t="array" ref="G351">_xlfn.XLOOKUP(B351&amp;E351,'[2]Viirs77-Mean'!$A$2:$A$694&amp;'[2]Viirs77-Mean'!$D$2:$D$694,'[2]Viirs77-Mean'!$E$2:$E$694)</f>
        <v>0.36509054099999999</v>
      </c>
      <c r="H351" s="9" cm="1">
        <f t="array" ref="H351">_xlfn.XLOOKUP(D351,cleanprovinces!$B$2:$B$78,_xlfn.XLOOKUP(panel!E351,cleanprovinces!$C$1:$AC$1,cleanprovinces!$C$2:$AC$78,"no",0,1))</f>
        <v>41824</v>
      </c>
      <c r="I351" s="4">
        <f t="shared" si="16"/>
        <v>41824000000</v>
      </c>
      <c r="J351" s="3" cm="1">
        <f t="array" ref="J351">_xlfn.XLOOKUP(D351,[3]Sheet1!$B$2:$B$78,_xlfn.XLOOKUP(E351,[3]Sheet1!$C$1:$AC$1,[3]Sheet1!$C$2:$AC$78))</f>
        <v>709</v>
      </c>
      <c r="K351" s="3">
        <f t="shared" si="15"/>
        <v>709000</v>
      </c>
      <c r="L351" s="3">
        <f t="shared" si="17"/>
        <v>58990.126939351198</v>
      </c>
      <c r="M351" s="10">
        <v>99.513472029334494</v>
      </c>
      <c r="N351" s="10">
        <v>18.335857259800601</v>
      </c>
    </row>
    <row r="352" spans="1:14" hidden="1" x14ac:dyDescent="0.3">
      <c r="A352" s="5">
        <v>37</v>
      </c>
      <c r="B352" s="5" t="str">
        <f>_xlfn.XLOOKUP(D352,'[1]Viirs77-Sol'!$C$2:$C$694,'[1]Viirs77-Sol'!$A$2:$A$694)</f>
        <v>TH-52</v>
      </c>
      <c r="C352" s="5" t="str">
        <f>_xlfn.XLOOKUP(D352,cleanprovinces!$B:$B,cleanprovinces!$A:$A)</f>
        <v>NO</v>
      </c>
      <c r="D352" s="5" t="s">
        <v>49</v>
      </c>
      <c r="E352" s="6">
        <v>2020</v>
      </c>
      <c r="F352" s="7" cm="1">
        <f t="array" ref="F352">_xlfn.XLOOKUP(D352&amp;E352,'[1]Viirs77-Sol'!$C$2:$C$694&amp;'[1]Viirs77-Sol'!$D$2:$D$694,'[1]Viirs77-Sol'!$E$2:$E$694)</f>
        <v>24737.614949999999</v>
      </c>
      <c r="G352" s="7" cm="1">
        <f t="array" ref="G352">_xlfn.XLOOKUP(B352&amp;E352,'[2]Viirs77-Mean'!$A$2:$A$694&amp;'[2]Viirs77-Mean'!$D$2:$D$694,'[2]Viirs77-Mean'!$E$2:$E$694)</f>
        <v>0.396683491</v>
      </c>
      <c r="H352" s="9" cm="1">
        <f t="array" ref="H352">_xlfn.XLOOKUP(D352,cleanprovinces!$B$2:$B$78,_xlfn.XLOOKUP(panel!E352,cleanprovinces!$C$1:$AC$1,cleanprovinces!$C$2:$AC$78,"no",0,1))</f>
        <v>40783</v>
      </c>
      <c r="I352" s="4">
        <f t="shared" si="16"/>
        <v>40783000000</v>
      </c>
      <c r="J352" s="3" cm="1">
        <f t="array" ref="J352">_xlfn.XLOOKUP(D352,[3]Sheet1!$B$2:$B$78,_xlfn.XLOOKUP(E352,[3]Sheet1!$C$1:$AC$1,[3]Sheet1!$C$2:$AC$78))</f>
        <v>704</v>
      </c>
      <c r="K352" s="3">
        <f t="shared" si="15"/>
        <v>704000</v>
      </c>
      <c r="L352" s="3">
        <f t="shared" si="17"/>
        <v>57930.397727272728</v>
      </c>
      <c r="M352" s="10">
        <v>99.513472029334494</v>
      </c>
      <c r="N352" s="10">
        <v>18.335857259800601</v>
      </c>
    </row>
    <row r="353" spans="1:14" hidden="1" x14ac:dyDescent="0.3">
      <c r="A353" s="5">
        <v>37</v>
      </c>
      <c r="B353" s="5" t="str">
        <f>_xlfn.XLOOKUP(D353,'[1]Viirs77-Sol'!$C$2:$C$694,'[1]Viirs77-Sol'!$A$2:$A$694)</f>
        <v>TH-52</v>
      </c>
      <c r="C353" s="5" t="str">
        <f>_xlfn.XLOOKUP(D353,cleanprovinces!$B:$B,cleanprovinces!$A:$A)</f>
        <v>NO</v>
      </c>
      <c r="D353" s="5" t="s">
        <v>49</v>
      </c>
      <c r="E353" s="6">
        <v>2021</v>
      </c>
      <c r="F353" s="7" cm="1">
        <f t="array" ref="F353">_xlfn.XLOOKUP(D353&amp;E353,'[1]Viirs77-Sol'!$C$2:$C$694&amp;'[1]Viirs77-Sol'!$D$2:$D$694,'[1]Viirs77-Sol'!$E$2:$E$694)</f>
        <v>27054.582579999998</v>
      </c>
      <c r="G353" s="7" cm="1">
        <f t="array" ref="G353">_xlfn.XLOOKUP(B353&amp;E353,'[2]Viirs77-Mean'!$A$2:$A$694&amp;'[2]Viirs77-Mean'!$D$2:$D$694,'[2]Viirs77-Mean'!$E$2:$E$694)</f>
        <v>0.43383755000000002</v>
      </c>
      <c r="H353" s="9" cm="1">
        <f t="array" ref="H353">_xlfn.XLOOKUP(D353,cleanprovinces!$B$2:$B$78,_xlfn.XLOOKUP(panel!E353,cleanprovinces!$C$1:$AC$1,cleanprovinces!$C$2:$AC$78,"no",0,1))</f>
        <v>41756</v>
      </c>
      <c r="I353" s="4">
        <f t="shared" si="16"/>
        <v>41756000000</v>
      </c>
      <c r="J353" s="3" cm="1">
        <f t="array" ref="J353">_xlfn.XLOOKUP(D353,[3]Sheet1!$B$2:$B$78,_xlfn.XLOOKUP(E353,[3]Sheet1!$C$1:$AC$1,[3]Sheet1!$C$2:$AC$78))</f>
        <v>698</v>
      </c>
      <c r="K353" s="3">
        <f t="shared" si="15"/>
        <v>698000</v>
      </c>
      <c r="L353" s="3">
        <f t="shared" si="17"/>
        <v>59822.349570200575</v>
      </c>
      <c r="M353" s="10">
        <v>99.513472029334494</v>
      </c>
      <c r="N353" s="10">
        <v>18.335857259800601</v>
      </c>
    </row>
    <row r="354" spans="1:14" hidden="1" x14ac:dyDescent="0.3">
      <c r="A354" s="5">
        <v>28</v>
      </c>
      <c r="B354" s="5" t="str">
        <f>_xlfn.XLOOKUP(D354,'[1]Viirs77-Sol'!$C$2:$C$694,'[1]Viirs77-Sol'!$A$2:$A$694)</f>
        <v>TH-51</v>
      </c>
      <c r="C354" s="5" t="str">
        <f>_xlfn.XLOOKUP(D354,cleanprovinces!$B:$B,cleanprovinces!$A:$A)</f>
        <v>NO</v>
      </c>
      <c r="D354" s="5" t="s">
        <v>54</v>
      </c>
      <c r="E354" s="6">
        <v>2014</v>
      </c>
      <c r="F354" s="7" cm="1">
        <f t="array" ref="F354">_xlfn.XLOOKUP(D354&amp;E354,'[1]Viirs77-Sol'!$C$2:$C$694&amp;'[1]Viirs77-Sol'!$D$2:$D$694,'[1]Viirs77-Sol'!$E$2:$E$694)</f>
        <v>8206.4119100000007</v>
      </c>
      <c r="G354" s="7" cm="1">
        <f t="array" ref="G354">_xlfn.XLOOKUP(B354&amp;E354,'[2]Viirs77-Mean'!$A$2:$A$694&amp;'[2]Viirs77-Mean'!$D$2:$D$694,'[2]Viirs77-Mean'!$E$2:$E$694)</f>
        <v>0.39941347500000002</v>
      </c>
      <c r="H354" s="9" cm="1">
        <f t="array" ref="H354">_xlfn.XLOOKUP(D354,cleanprovinces!$B$2:$B$78,_xlfn.XLOOKUP(panel!E354,cleanprovinces!$C$1:$AC$1,cleanprovinces!$C$2:$AC$78,"no",0,1))</f>
        <v>46480</v>
      </c>
      <c r="I354" s="4">
        <f t="shared" si="16"/>
        <v>46480000000</v>
      </c>
      <c r="J354" s="3" cm="1">
        <f t="array" ref="J354">_xlfn.XLOOKUP(D354,[3]Sheet1!$B$2:$B$78,_xlfn.XLOOKUP(E354,[3]Sheet1!$C$1:$AC$1,[3]Sheet1!$C$2:$AC$78))</f>
        <v>405</v>
      </c>
      <c r="K354" s="3">
        <f t="shared" si="15"/>
        <v>405000</v>
      </c>
      <c r="L354" s="3">
        <f t="shared" si="17"/>
        <v>114765.43209876544</v>
      </c>
      <c r="M354" s="10">
        <v>98.959960150321805</v>
      </c>
      <c r="N354" s="10">
        <v>18.1313926573795</v>
      </c>
    </row>
    <row r="355" spans="1:14" hidden="1" x14ac:dyDescent="0.3">
      <c r="A355" s="5">
        <v>28</v>
      </c>
      <c r="B355" s="5" t="str">
        <f>_xlfn.XLOOKUP(D355,'[1]Viirs77-Sol'!$C$2:$C$694,'[1]Viirs77-Sol'!$A$2:$A$694)</f>
        <v>TH-51</v>
      </c>
      <c r="C355" s="5" t="str">
        <f>_xlfn.XLOOKUP(D355,cleanprovinces!$B:$B,cleanprovinces!$A:$A)</f>
        <v>NO</v>
      </c>
      <c r="D355" s="5" t="s">
        <v>54</v>
      </c>
      <c r="E355" s="6">
        <v>2015</v>
      </c>
      <c r="F355" s="7" cm="1">
        <f t="array" ref="F355">_xlfn.XLOOKUP(D355&amp;E355,'[1]Viirs77-Sol'!$C$2:$C$694&amp;'[1]Viirs77-Sol'!$D$2:$D$694,'[1]Viirs77-Sol'!$E$2:$E$694)</f>
        <v>9566.8270929999999</v>
      </c>
      <c r="G355" s="7" cm="1">
        <f t="array" ref="G355">_xlfn.XLOOKUP(B355&amp;E355,'[2]Viirs77-Mean'!$A$2:$A$694&amp;'[2]Viirs77-Mean'!$D$2:$D$694,'[2]Viirs77-Mean'!$E$2:$E$694)</f>
        <v>0.46562610999999998</v>
      </c>
      <c r="H355" s="9" cm="1">
        <f t="array" ref="H355">_xlfn.XLOOKUP(D355,cleanprovinces!$B$2:$B$78,_xlfn.XLOOKUP(panel!E355,cleanprovinces!$C$1:$AC$1,cleanprovinces!$C$2:$AC$78,"no",0,1))</f>
        <v>42305</v>
      </c>
      <c r="I355" s="4">
        <f t="shared" si="16"/>
        <v>42305000000</v>
      </c>
      <c r="J355" s="3" cm="1">
        <f t="array" ref="J355">_xlfn.XLOOKUP(D355,[3]Sheet1!$B$2:$B$78,_xlfn.XLOOKUP(E355,[3]Sheet1!$C$1:$AC$1,[3]Sheet1!$C$2:$AC$78))</f>
        <v>403</v>
      </c>
      <c r="K355" s="3">
        <f t="shared" si="15"/>
        <v>403000</v>
      </c>
      <c r="L355" s="3">
        <f t="shared" si="17"/>
        <v>104975.18610421836</v>
      </c>
      <c r="M355" s="10">
        <v>98.959960150321805</v>
      </c>
      <c r="N355" s="10">
        <v>18.1313926573795</v>
      </c>
    </row>
    <row r="356" spans="1:14" hidden="1" x14ac:dyDescent="0.3">
      <c r="A356" s="5">
        <v>28</v>
      </c>
      <c r="B356" s="5" t="str">
        <f>_xlfn.XLOOKUP(D356,'[1]Viirs77-Sol'!$C$2:$C$694,'[1]Viirs77-Sol'!$A$2:$A$694)</f>
        <v>TH-51</v>
      </c>
      <c r="C356" s="5" t="str">
        <f>_xlfn.XLOOKUP(D356,cleanprovinces!$B:$B,cleanprovinces!$A:$A)</f>
        <v>NO</v>
      </c>
      <c r="D356" s="5" t="s">
        <v>54</v>
      </c>
      <c r="E356" s="6">
        <v>2016</v>
      </c>
      <c r="F356" s="7" cm="1">
        <f t="array" ref="F356">_xlfn.XLOOKUP(D356&amp;E356,'[1]Viirs77-Sol'!$C$2:$C$694&amp;'[1]Viirs77-Sol'!$D$2:$D$694,'[1]Viirs77-Sol'!$E$2:$E$694)</f>
        <v>9505.8584589999991</v>
      </c>
      <c r="G356" s="7" cm="1">
        <f t="array" ref="G356">_xlfn.XLOOKUP(B356&amp;E356,'[2]Viirs77-Mean'!$A$2:$A$694&amp;'[2]Viirs77-Mean'!$D$2:$D$694,'[2]Viirs77-Mean'!$E$2:$E$694)</f>
        <v>0.462658711</v>
      </c>
      <c r="H356" s="9" cm="1">
        <f t="array" ref="H356">_xlfn.XLOOKUP(D356,cleanprovinces!$B$2:$B$78,_xlfn.XLOOKUP(panel!E356,cleanprovinces!$C$1:$AC$1,cleanprovinces!$C$2:$AC$78,"no",0,1))</f>
        <v>42814</v>
      </c>
      <c r="I356" s="4">
        <f t="shared" si="16"/>
        <v>42814000000</v>
      </c>
      <c r="J356" s="3" cm="1">
        <f t="array" ref="J356">_xlfn.XLOOKUP(D356,[3]Sheet1!$B$2:$B$78,_xlfn.XLOOKUP(E356,[3]Sheet1!$C$1:$AC$1,[3]Sheet1!$C$2:$AC$78))</f>
        <v>402</v>
      </c>
      <c r="K356" s="3">
        <f t="shared" si="15"/>
        <v>402000</v>
      </c>
      <c r="L356" s="3">
        <f t="shared" si="17"/>
        <v>106502.48756218905</v>
      </c>
      <c r="M356" s="10">
        <v>98.959960150321805</v>
      </c>
      <c r="N356" s="10">
        <v>18.1313926573795</v>
      </c>
    </row>
    <row r="357" spans="1:14" hidden="1" x14ac:dyDescent="0.3">
      <c r="A357" s="5">
        <v>28</v>
      </c>
      <c r="B357" s="5" t="str">
        <f>_xlfn.XLOOKUP(D357,'[1]Viirs77-Sol'!$C$2:$C$694,'[1]Viirs77-Sol'!$A$2:$A$694)</f>
        <v>TH-51</v>
      </c>
      <c r="C357" s="5" t="str">
        <f>_xlfn.XLOOKUP(D357,cleanprovinces!$B:$B,cleanprovinces!$A:$A)</f>
        <v>NO</v>
      </c>
      <c r="D357" s="5" t="s">
        <v>54</v>
      </c>
      <c r="E357" s="6">
        <v>2017</v>
      </c>
      <c r="F357" s="7" cm="1">
        <f t="array" ref="F357">_xlfn.XLOOKUP(D357&amp;E357,'[1]Viirs77-Sol'!$C$2:$C$694&amp;'[1]Viirs77-Sol'!$D$2:$D$694,'[1]Viirs77-Sol'!$E$2:$E$694)</f>
        <v>11307.140590000001</v>
      </c>
      <c r="G357" s="7" cm="1">
        <f t="array" ref="G357">_xlfn.XLOOKUP(B357&amp;E357,'[2]Viirs77-Mean'!$A$2:$A$694&amp;'[2]Viirs77-Mean'!$D$2:$D$694,'[2]Viirs77-Mean'!$E$2:$E$694)</f>
        <v>0.55032873800000004</v>
      </c>
      <c r="H357" s="9" cm="1">
        <f t="array" ref="H357">_xlfn.XLOOKUP(D357,cleanprovinces!$B$2:$B$78,_xlfn.XLOOKUP(panel!E357,cleanprovinces!$C$1:$AC$1,cleanprovinces!$C$2:$AC$78,"no",0,1))</f>
        <v>47290</v>
      </c>
      <c r="I357" s="4">
        <f t="shared" si="16"/>
        <v>47290000000</v>
      </c>
      <c r="J357" s="3" cm="1">
        <f t="array" ref="J357">_xlfn.XLOOKUP(D357,[3]Sheet1!$B$2:$B$78,_xlfn.XLOOKUP(E357,[3]Sheet1!$C$1:$AC$1,[3]Sheet1!$C$2:$AC$78))</f>
        <v>402</v>
      </c>
      <c r="K357" s="3">
        <f t="shared" si="15"/>
        <v>402000</v>
      </c>
      <c r="L357" s="3">
        <f t="shared" si="17"/>
        <v>117636.815920398</v>
      </c>
      <c r="M357" s="10">
        <v>98.959960150321805</v>
      </c>
      <c r="N357" s="10">
        <v>18.1313926573795</v>
      </c>
    </row>
    <row r="358" spans="1:14" hidden="1" x14ac:dyDescent="0.3">
      <c r="A358" s="5">
        <v>28</v>
      </c>
      <c r="B358" s="5" t="str">
        <f>_xlfn.XLOOKUP(D358,'[1]Viirs77-Sol'!$C$2:$C$694,'[1]Viirs77-Sol'!$A$2:$A$694)</f>
        <v>TH-51</v>
      </c>
      <c r="C358" s="5" t="str">
        <f>_xlfn.XLOOKUP(D358,cleanprovinces!$B:$B,cleanprovinces!$A:$A)</f>
        <v>NO</v>
      </c>
      <c r="D358" s="5" t="s">
        <v>54</v>
      </c>
      <c r="E358" s="6">
        <v>2018</v>
      </c>
      <c r="F358" s="7" cm="1">
        <f t="array" ref="F358">_xlfn.XLOOKUP(D358&amp;E358,'[1]Viirs77-Sol'!$C$2:$C$694&amp;'[1]Viirs77-Sol'!$D$2:$D$694,'[1]Viirs77-Sol'!$E$2:$E$694)</f>
        <v>12069.205019999999</v>
      </c>
      <c r="G358" s="7" cm="1">
        <f t="array" ref="G358">_xlfn.XLOOKUP(B358&amp;E358,'[2]Viirs77-Mean'!$A$2:$A$694&amp;'[2]Viirs77-Mean'!$D$2:$D$694,'[2]Viirs77-Mean'!$E$2:$E$694)</f>
        <v>0.58741910200000003</v>
      </c>
      <c r="H358" s="9" cm="1">
        <f t="array" ref="H358">_xlfn.XLOOKUP(D358,cleanprovinces!$B$2:$B$78,_xlfn.XLOOKUP(panel!E358,cleanprovinces!$C$1:$AC$1,cleanprovinces!$C$2:$AC$78,"no",0,1))</f>
        <v>50475</v>
      </c>
      <c r="I358" s="4">
        <f t="shared" si="16"/>
        <v>50475000000</v>
      </c>
      <c r="J358" s="3" cm="1">
        <f t="array" ref="J358">_xlfn.XLOOKUP(D358,[3]Sheet1!$B$2:$B$78,_xlfn.XLOOKUP(E358,[3]Sheet1!$C$1:$AC$1,[3]Sheet1!$C$2:$AC$78))</f>
        <v>399</v>
      </c>
      <c r="K358" s="3">
        <f t="shared" si="15"/>
        <v>399000</v>
      </c>
      <c r="L358" s="3">
        <f t="shared" si="17"/>
        <v>126503.75939849624</v>
      </c>
      <c r="M358" s="10">
        <v>98.959960150321805</v>
      </c>
      <c r="N358" s="10">
        <v>18.1313926573795</v>
      </c>
    </row>
    <row r="359" spans="1:14" hidden="1" x14ac:dyDescent="0.3">
      <c r="A359" s="5">
        <v>28</v>
      </c>
      <c r="B359" s="5" t="str">
        <f>_xlfn.XLOOKUP(D359,'[1]Viirs77-Sol'!$C$2:$C$694,'[1]Viirs77-Sol'!$A$2:$A$694)</f>
        <v>TH-51</v>
      </c>
      <c r="C359" s="5" t="str">
        <f>_xlfn.XLOOKUP(D359,cleanprovinces!$B:$B,cleanprovinces!$A:$A)</f>
        <v>NO</v>
      </c>
      <c r="D359" s="5" t="s">
        <v>54</v>
      </c>
      <c r="E359" s="6">
        <v>2019</v>
      </c>
      <c r="F359" s="7" cm="1">
        <f t="array" ref="F359">_xlfn.XLOOKUP(D359&amp;E359,'[1]Viirs77-Sol'!$C$2:$C$694&amp;'[1]Viirs77-Sol'!$D$2:$D$694,'[1]Viirs77-Sol'!$E$2:$E$694)</f>
        <v>12776.71019</v>
      </c>
      <c r="G359" s="7" cm="1">
        <f t="array" ref="G359">_xlfn.XLOOKUP(B359&amp;E359,'[2]Viirs77-Mean'!$A$2:$A$694&amp;'[2]Viirs77-Mean'!$D$2:$D$694,'[2]Viirs77-Mean'!$E$2:$E$694)</f>
        <v>0.62185401699999998</v>
      </c>
      <c r="H359" s="9" cm="1">
        <f t="array" ref="H359">_xlfn.XLOOKUP(D359,cleanprovinces!$B$2:$B$78,_xlfn.XLOOKUP(panel!E359,cleanprovinces!$C$1:$AC$1,cleanprovinces!$C$2:$AC$78,"no",0,1))</f>
        <v>49966</v>
      </c>
      <c r="I359" s="4">
        <f t="shared" si="16"/>
        <v>49966000000</v>
      </c>
      <c r="J359" s="3" cm="1">
        <f t="array" ref="J359">_xlfn.XLOOKUP(D359,[3]Sheet1!$B$2:$B$78,_xlfn.XLOOKUP(E359,[3]Sheet1!$C$1:$AC$1,[3]Sheet1!$C$2:$AC$78))</f>
        <v>396</v>
      </c>
      <c r="K359" s="3">
        <f t="shared" si="15"/>
        <v>396000</v>
      </c>
      <c r="L359" s="3">
        <f t="shared" si="17"/>
        <v>126176.76767676767</v>
      </c>
      <c r="M359" s="10">
        <v>98.959960150321805</v>
      </c>
      <c r="N359" s="10">
        <v>18.1313926573795</v>
      </c>
    </row>
    <row r="360" spans="1:14" hidden="1" x14ac:dyDescent="0.3">
      <c r="A360" s="5">
        <v>28</v>
      </c>
      <c r="B360" s="5" t="str">
        <f>_xlfn.XLOOKUP(D360,'[1]Viirs77-Sol'!$C$2:$C$694,'[1]Viirs77-Sol'!$A$2:$A$694)</f>
        <v>TH-51</v>
      </c>
      <c r="C360" s="5" t="str">
        <f>_xlfn.XLOOKUP(D360,cleanprovinces!$B:$B,cleanprovinces!$A:$A)</f>
        <v>NO</v>
      </c>
      <c r="D360" s="5" t="s">
        <v>54</v>
      </c>
      <c r="E360" s="6">
        <v>2020</v>
      </c>
      <c r="F360" s="7" cm="1">
        <f t="array" ref="F360">_xlfn.XLOOKUP(D360&amp;E360,'[1]Viirs77-Sol'!$C$2:$C$694&amp;'[1]Viirs77-Sol'!$D$2:$D$694,'[1]Viirs77-Sol'!$E$2:$E$694)</f>
        <v>13668.843409999999</v>
      </c>
      <c r="G360" s="7" cm="1">
        <f t="array" ref="G360">_xlfn.XLOOKUP(B360&amp;E360,'[2]Viirs77-Mean'!$A$2:$A$694&amp;'[2]Viirs77-Mean'!$D$2:$D$694,'[2]Viirs77-Mean'!$E$2:$E$694)</f>
        <v>0.66527494600000003</v>
      </c>
      <c r="H360" s="9" cm="1">
        <f t="array" ref="H360">_xlfn.XLOOKUP(D360,cleanprovinces!$B$2:$B$78,_xlfn.XLOOKUP(panel!E360,cleanprovinces!$C$1:$AC$1,cleanprovinces!$C$2:$AC$78,"no",0,1))</f>
        <v>50552</v>
      </c>
      <c r="I360" s="4">
        <f t="shared" si="16"/>
        <v>50552000000</v>
      </c>
      <c r="J360" s="3" cm="1">
        <f t="array" ref="J360">_xlfn.XLOOKUP(D360,[3]Sheet1!$B$2:$B$78,_xlfn.XLOOKUP(E360,[3]Sheet1!$C$1:$AC$1,[3]Sheet1!$C$2:$AC$78))</f>
        <v>394</v>
      </c>
      <c r="K360" s="3">
        <f t="shared" si="15"/>
        <v>394000</v>
      </c>
      <c r="L360" s="3">
        <f t="shared" si="17"/>
        <v>128304.56852791877</v>
      </c>
      <c r="M360" s="10">
        <v>98.959960150321805</v>
      </c>
      <c r="N360" s="10">
        <v>18.1313926573795</v>
      </c>
    </row>
    <row r="361" spans="1:14" hidden="1" x14ac:dyDescent="0.3">
      <c r="A361" s="5">
        <v>28</v>
      </c>
      <c r="B361" s="5" t="str">
        <f>_xlfn.XLOOKUP(D361,'[1]Viirs77-Sol'!$C$2:$C$694,'[1]Viirs77-Sol'!$A$2:$A$694)</f>
        <v>TH-51</v>
      </c>
      <c r="C361" s="5" t="str">
        <f>_xlfn.XLOOKUP(D361,cleanprovinces!$B:$B,cleanprovinces!$A:$A)</f>
        <v>NO</v>
      </c>
      <c r="D361" s="5" t="s">
        <v>54</v>
      </c>
      <c r="E361" s="6">
        <v>2021</v>
      </c>
      <c r="F361" s="7" cm="1">
        <f t="array" ref="F361">_xlfn.XLOOKUP(D361&amp;E361,'[1]Viirs77-Sol'!$C$2:$C$694&amp;'[1]Viirs77-Sol'!$D$2:$D$694,'[1]Viirs77-Sol'!$E$2:$E$694)</f>
        <v>14286.83921</v>
      </c>
      <c r="G361" s="7" cm="1">
        <f t="array" ref="G361">_xlfn.XLOOKUP(B361&amp;E361,'[2]Viirs77-Mean'!$A$2:$A$694&amp;'[2]Viirs77-Mean'!$D$2:$D$694,'[2]Viirs77-Mean'!$E$2:$E$694)</f>
        <v>0.69535336000000003</v>
      </c>
      <c r="H361" s="9" cm="1">
        <f t="array" ref="H361">_xlfn.XLOOKUP(D361,cleanprovinces!$B$2:$B$78,_xlfn.XLOOKUP(panel!E361,cleanprovinces!$C$1:$AC$1,cleanprovinces!$C$2:$AC$78,"no",0,1))</f>
        <v>55177</v>
      </c>
      <c r="I361" s="4">
        <f t="shared" si="16"/>
        <v>55177000000</v>
      </c>
      <c r="J361" s="3" cm="1">
        <f t="array" ref="J361">_xlfn.XLOOKUP(D361,[3]Sheet1!$B$2:$B$78,_xlfn.XLOOKUP(E361,[3]Sheet1!$C$1:$AC$1,[3]Sheet1!$C$2:$AC$78))</f>
        <v>391</v>
      </c>
      <c r="K361" s="3">
        <f t="shared" si="15"/>
        <v>391000</v>
      </c>
      <c r="L361" s="3">
        <f t="shared" si="17"/>
        <v>141117.64705882352</v>
      </c>
      <c r="M361" s="10">
        <v>98.959960150321805</v>
      </c>
      <c r="N361" s="10">
        <v>18.1313926573795</v>
      </c>
    </row>
    <row r="362" spans="1:14" hidden="1" x14ac:dyDescent="0.3">
      <c r="A362" s="5">
        <v>74</v>
      </c>
      <c r="B362" s="5" t="str">
        <f>_xlfn.XLOOKUP(D362,'[1]Viirs77-Sol'!$C$2:$C$694,'[1]Viirs77-Sol'!$A$2:$A$694)</f>
        <v>TH-58</v>
      </c>
      <c r="C362" s="5" t="str">
        <f>_xlfn.XLOOKUP(D362,cleanprovinces!$B:$B,cleanprovinces!$A:$A)</f>
        <v>NO</v>
      </c>
      <c r="D362" s="5" t="s">
        <v>51</v>
      </c>
      <c r="E362" s="6">
        <v>2014</v>
      </c>
      <c r="F362" s="7" cm="1">
        <f t="array" ref="F362">_xlfn.XLOOKUP(D362&amp;E362,'[1]Viirs77-Sol'!$C$2:$C$694&amp;'[1]Viirs77-Sol'!$D$2:$D$694,'[1]Viirs77-Sol'!$E$2:$E$694)</f>
        <v>1762.3876540000001</v>
      </c>
      <c r="G362" s="7" cm="1">
        <f t="array" ref="G362">_xlfn.XLOOKUP(B362&amp;E362,'[2]Viirs77-Mean'!$A$2:$A$694&amp;'[2]Viirs77-Mean'!$D$2:$D$694,'[2]Viirs77-Mean'!$E$2:$E$694)</f>
        <v>2.6673675000000001E-2</v>
      </c>
      <c r="H362" s="9" cm="1">
        <f t="array" ref="H362">_xlfn.XLOOKUP(D362,cleanprovinces!$B$2:$B$78,_xlfn.XLOOKUP(panel!E362,cleanprovinces!$C$1:$AC$1,cleanprovinces!$C$2:$AC$78,"no",0,1))</f>
        <v>5892</v>
      </c>
      <c r="I362" s="4">
        <f t="shared" si="16"/>
        <v>5892000000</v>
      </c>
      <c r="J362" s="3" cm="1">
        <f t="array" ref="J362">_xlfn.XLOOKUP(D362,[3]Sheet1!$B$2:$B$78,_xlfn.XLOOKUP(E362,[3]Sheet1!$C$1:$AC$1,[3]Sheet1!$C$2:$AC$78))</f>
        <v>224</v>
      </c>
      <c r="K362" s="3">
        <f t="shared" si="15"/>
        <v>224000</v>
      </c>
      <c r="L362" s="3">
        <f t="shared" si="17"/>
        <v>26303.571428571428</v>
      </c>
      <c r="M362" s="10">
        <v>98.029566776532604</v>
      </c>
      <c r="N362" s="10">
        <v>18.751740877339</v>
      </c>
    </row>
    <row r="363" spans="1:14" hidden="1" x14ac:dyDescent="0.3">
      <c r="A363" s="5">
        <v>74</v>
      </c>
      <c r="B363" s="5" t="str">
        <f>_xlfn.XLOOKUP(D363,'[1]Viirs77-Sol'!$C$2:$C$694,'[1]Viirs77-Sol'!$A$2:$A$694)</f>
        <v>TH-58</v>
      </c>
      <c r="C363" s="5" t="str">
        <f>_xlfn.XLOOKUP(D363,cleanprovinces!$B:$B,cleanprovinces!$A:$A)</f>
        <v>NO</v>
      </c>
      <c r="D363" s="5" t="s">
        <v>51</v>
      </c>
      <c r="E363" s="6">
        <v>2015</v>
      </c>
      <c r="F363" s="7" cm="1">
        <f t="array" ref="F363">_xlfn.XLOOKUP(D363&amp;E363,'[1]Viirs77-Sol'!$C$2:$C$694&amp;'[1]Viirs77-Sol'!$D$2:$D$694,'[1]Viirs77-Sol'!$E$2:$E$694)</f>
        <v>2002.8466940000001</v>
      </c>
      <c r="G363" s="7" cm="1">
        <f t="array" ref="G363">_xlfn.XLOOKUP(B363&amp;E363,'[2]Viirs77-Mean'!$A$2:$A$694&amp;'[2]Viirs77-Mean'!$D$2:$D$694,'[2]Viirs77-Mean'!$E$2:$E$694)</f>
        <v>3.0313013999999999E-2</v>
      </c>
      <c r="H363" s="9" cm="1">
        <f t="array" ref="H363">_xlfn.XLOOKUP(D363,cleanprovinces!$B$2:$B$78,_xlfn.XLOOKUP(panel!E363,cleanprovinces!$C$1:$AC$1,cleanprovinces!$C$2:$AC$78,"no",0,1))</f>
        <v>6542</v>
      </c>
      <c r="I363" s="4">
        <f t="shared" si="16"/>
        <v>6542000000</v>
      </c>
      <c r="J363" s="3" cm="1">
        <f t="array" ref="J363">_xlfn.XLOOKUP(D363,[3]Sheet1!$B$2:$B$78,_xlfn.XLOOKUP(E363,[3]Sheet1!$C$1:$AC$1,[3]Sheet1!$C$2:$AC$78))</f>
        <v>228</v>
      </c>
      <c r="K363" s="3">
        <f t="shared" si="15"/>
        <v>228000</v>
      </c>
      <c r="L363" s="3">
        <f t="shared" si="17"/>
        <v>28692.982456140351</v>
      </c>
      <c r="M363" s="10">
        <v>98.029566776532604</v>
      </c>
      <c r="N363" s="10">
        <v>18.751740877339</v>
      </c>
    </row>
    <row r="364" spans="1:14" hidden="1" x14ac:dyDescent="0.3">
      <c r="A364" s="5">
        <v>74</v>
      </c>
      <c r="B364" s="5" t="str">
        <f>_xlfn.XLOOKUP(D364,'[1]Viirs77-Sol'!$C$2:$C$694,'[1]Viirs77-Sol'!$A$2:$A$694)</f>
        <v>TH-58</v>
      </c>
      <c r="C364" s="5" t="str">
        <f>_xlfn.XLOOKUP(D364,cleanprovinces!$B:$B,cleanprovinces!$A:$A)</f>
        <v>NO</v>
      </c>
      <c r="D364" s="5" t="s">
        <v>51</v>
      </c>
      <c r="E364" s="6">
        <v>2016</v>
      </c>
      <c r="F364" s="7" cm="1">
        <f t="array" ref="F364">_xlfn.XLOOKUP(D364&amp;E364,'[1]Viirs77-Sol'!$C$2:$C$694&amp;'[1]Viirs77-Sol'!$D$2:$D$694,'[1]Viirs77-Sol'!$E$2:$E$694)</f>
        <v>1948.3983900000001</v>
      </c>
      <c r="G364" s="7" cm="1">
        <f t="array" ref="G364">_xlfn.XLOOKUP(B364&amp;E364,'[2]Viirs77-Mean'!$A$2:$A$694&amp;'[2]Viirs77-Mean'!$D$2:$D$694,'[2]Viirs77-Mean'!$E$2:$E$694)</f>
        <v>2.9488941000000001E-2</v>
      </c>
      <c r="H364" s="9" cm="1">
        <f t="array" ref="H364">_xlfn.XLOOKUP(D364,cleanprovinces!$B$2:$B$78,_xlfn.XLOOKUP(panel!E364,cleanprovinces!$C$1:$AC$1,cleanprovinces!$C$2:$AC$78,"no",0,1))</f>
        <v>6574</v>
      </c>
      <c r="I364" s="4">
        <f t="shared" si="16"/>
        <v>6574000000</v>
      </c>
      <c r="J364" s="3" cm="1">
        <f t="array" ref="J364">_xlfn.XLOOKUP(D364,[3]Sheet1!$B$2:$B$78,_xlfn.XLOOKUP(E364,[3]Sheet1!$C$1:$AC$1,[3]Sheet1!$C$2:$AC$78))</f>
        <v>229</v>
      </c>
      <c r="K364" s="3">
        <f t="shared" si="15"/>
        <v>229000</v>
      </c>
      <c r="L364" s="3">
        <f t="shared" si="17"/>
        <v>28707.423580786028</v>
      </c>
      <c r="M364" s="10">
        <v>98.029566776532604</v>
      </c>
      <c r="N364" s="10">
        <v>18.751740877339</v>
      </c>
    </row>
    <row r="365" spans="1:14" hidden="1" x14ac:dyDescent="0.3">
      <c r="A365" s="5">
        <v>74</v>
      </c>
      <c r="B365" s="5" t="str">
        <f>_xlfn.XLOOKUP(D365,'[1]Viirs77-Sol'!$C$2:$C$694,'[1]Viirs77-Sol'!$A$2:$A$694)</f>
        <v>TH-58</v>
      </c>
      <c r="C365" s="5" t="str">
        <f>_xlfn.XLOOKUP(D365,cleanprovinces!$B:$B,cleanprovinces!$A:$A)</f>
        <v>NO</v>
      </c>
      <c r="D365" s="5" t="s">
        <v>51</v>
      </c>
      <c r="E365" s="6">
        <v>2017</v>
      </c>
      <c r="F365" s="7" cm="1">
        <f t="array" ref="F365">_xlfn.XLOOKUP(D365&amp;E365,'[1]Viirs77-Sol'!$C$2:$C$694&amp;'[1]Viirs77-Sol'!$D$2:$D$694,'[1]Viirs77-Sol'!$E$2:$E$694)</f>
        <v>2602.251843</v>
      </c>
      <c r="G365" s="7" cm="1">
        <f t="array" ref="G365">_xlfn.XLOOKUP(B365&amp;E365,'[2]Viirs77-Mean'!$A$2:$A$694&amp;'[2]Viirs77-Mean'!$D$2:$D$694,'[2]Viirs77-Mean'!$E$2:$E$694)</f>
        <v>3.9384990000000002E-2</v>
      </c>
      <c r="H365" s="9" cm="1">
        <f t="array" ref="H365">_xlfn.XLOOKUP(D365,cleanprovinces!$B$2:$B$78,_xlfn.XLOOKUP(panel!E365,cleanprovinces!$C$1:$AC$1,cleanprovinces!$C$2:$AC$78,"no",0,1))</f>
        <v>6791</v>
      </c>
      <c r="I365" s="4">
        <f t="shared" si="16"/>
        <v>6791000000</v>
      </c>
      <c r="J365" s="3" cm="1">
        <f t="array" ref="J365">_xlfn.XLOOKUP(D365,[3]Sheet1!$B$2:$B$78,_xlfn.XLOOKUP(E365,[3]Sheet1!$C$1:$AC$1,[3]Sheet1!$C$2:$AC$78))</f>
        <v>233</v>
      </c>
      <c r="K365" s="3">
        <f t="shared" si="15"/>
        <v>233000</v>
      </c>
      <c r="L365" s="3">
        <f t="shared" si="17"/>
        <v>29145.922746781114</v>
      </c>
      <c r="M365" s="10">
        <v>98.029566776532604</v>
      </c>
      <c r="N365" s="10">
        <v>18.751740877339</v>
      </c>
    </row>
    <row r="366" spans="1:14" hidden="1" x14ac:dyDescent="0.3">
      <c r="A366" s="5">
        <v>74</v>
      </c>
      <c r="B366" s="5" t="str">
        <f>_xlfn.XLOOKUP(D366,'[1]Viirs77-Sol'!$C$2:$C$694,'[1]Viirs77-Sol'!$A$2:$A$694)</f>
        <v>TH-58</v>
      </c>
      <c r="C366" s="5" t="str">
        <f>_xlfn.XLOOKUP(D366,cleanprovinces!$B:$B,cleanprovinces!$A:$A)</f>
        <v>NO</v>
      </c>
      <c r="D366" s="5" t="s">
        <v>51</v>
      </c>
      <c r="E366" s="6">
        <v>2018</v>
      </c>
      <c r="F366" s="7" cm="1">
        <f t="array" ref="F366">_xlfn.XLOOKUP(D366&amp;E366,'[1]Viirs77-Sol'!$C$2:$C$694&amp;'[1]Viirs77-Sol'!$D$2:$D$694,'[1]Viirs77-Sol'!$E$2:$E$694)</f>
        <v>2777.2880319999999</v>
      </c>
      <c r="G366" s="7" cm="1">
        <f t="array" ref="G366">_xlfn.XLOOKUP(B366&amp;E366,'[2]Viirs77-Mean'!$A$2:$A$694&amp;'[2]Viirs77-Mean'!$D$2:$D$694,'[2]Viirs77-Mean'!$E$2:$E$694)</f>
        <v>4.2034156000000003E-2</v>
      </c>
      <c r="H366" s="9" cm="1">
        <f t="array" ref="H366">_xlfn.XLOOKUP(D366,cleanprovinces!$B$2:$B$78,_xlfn.XLOOKUP(panel!E366,cleanprovinces!$C$1:$AC$1,cleanprovinces!$C$2:$AC$78,"no",0,1))</f>
        <v>7041</v>
      </c>
      <c r="I366" s="4">
        <f t="shared" si="16"/>
        <v>7041000000</v>
      </c>
      <c r="J366" s="3" cm="1">
        <f t="array" ref="J366">_xlfn.XLOOKUP(D366,[3]Sheet1!$B$2:$B$78,_xlfn.XLOOKUP(E366,[3]Sheet1!$C$1:$AC$1,[3]Sheet1!$C$2:$AC$78))</f>
        <v>235</v>
      </c>
      <c r="K366" s="3">
        <f t="shared" si="15"/>
        <v>235000</v>
      </c>
      <c r="L366" s="3">
        <f t="shared" si="17"/>
        <v>29961.702127659573</v>
      </c>
      <c r="M366" s="10">
        <v>98.029566776532604</v>
      </c>
      <c r="N366" s="10">
        <v>18.751740877339</v>
      </c>
    </row>
    <row r="367" spans="1:14" hidden="1" x14ac:dyDescent="0.3">
      <c r="A367" s="5">
        <v>74</v>
      </c>
      <c r="B367" s="5" t="str">
        <f>_xlfn.XLOOKUP(D367,'[1]Viirs77-Sol'!$C$2:$C$694,'[1]Viirs77-Sol'!$A$2:$A$694)</f>
        <v>TH-58</v>
      </c>
      <c r="C367" s="5" t="str">
        <f>_xlfn.XLOOKUP(D367,cleanprovinces!$B:$B,cleanprovinces!$A:$A)</f>
        <v>NO</v>
      </c>
      <c r="D367" s="5" t="s">
        <v>51</v>
      </c>
      <c r="E367" s="6">
        <v>2019</v>
      </c>
      <c r="F367" s="7" cm="1">
        <f t="array" ref="F367">_xlfn.XLOOKUP(D367&amp;E367,'[1]Viirs77-Sol'!$C$2:$C$694&amp;'[1]Viirs77-Sol'!$D$2:$D$694,'[1]Viirs77-Sol'!$E$2:$E$694)</f>
        <v>2825.2194589999999</v>
      </c>
      <c r="G367" s="7" cm="1">
        <f t="array" ref="G367">_xlfn.XLOOKUP(B367&amp;E367,'[2]Viirs77-Mean'!$A$2:$A$694&amp;'[2]Viirs77-Mean'!$D$2:$D$694,'[2]Viirs77-Mean'!$E$2:$E$694)</f>
        <v>4.2759597000000003E-2</v>
      </c>
      <c r="H367" s="9" cm="1">
        <f t="array" ref="H367">_xlfn.XLOOKUP(D367,cleanprovinces!$B$2:$B$78,_xlfn.XLOOKUP(panel!E367,cleanprovinces!$C$1:$AC$1,cleanprovinces!$C$2:$AC$78,"no",0,1))</f>
        <v>7824</v>
      </c>
      <c r="I367" s="4">
        <f t="shared" si="16"/>
        <v>7824000000</v>
      </c>
      <c r="J367" s="3" cm="1">
        <f t="array" ref="J367">_xlfn.XLOOKUP(D367,[3]Sheet1!$B$2:$B$78,_xlfn.XLOOKUP(E367,[3]Sheet1!$C$1:$AC$1,[3]Sheet1!$C$2:$AC$78))</f>
        <v>237</v>
      </c>
      <c r="K367" s="3">
        <f t="shared" si="15"/>
        <v>237000</v>
      </c>
      <c r="L367" s="3">
        <f t="shared" si="17"/>
        <v>33012.6582278481</v>
      </c>
      <c r="M367" s="10">
        <v>98.029566776532604</v>
      </c>
      <c r="N367" s="10">
        <v>18.751740877339</v>
      </c>
    </row>
    <row r="368" spans="1:14" hidden="1" x14ac:dyDescent="0.3">
      <c r="A368" s="5">
        <v>74</v>
      </c>
      <c r="B368" s="5" t="str">
        <f>_xlfn.XLOOKUP(D368,'[1]Viirs77-Sol'!$C$2:$C$694,'[1]Viirs77-Sol'!$A$2:$A$694)</f>
        <v>TH-58</v>
      </c>
      <c r="C368" s="5" t="str">
        <f>_xlfn.XLOOKUP(D368,cleanprovinces!$B:$B,cleanprovinces!$A:$A)</f>
        <v>NO</v>
      </c>
      <c r="D368" s="5" t="s">
        <v>51</v>
      </c>
      <c r="E368" s="6">
        <v>2020</v>
      </c>
      <c r="F368" s="7" cm="1">
        <f t="array" ref="F368">_xlfn.XLOOKUP(D368&amp;E368,'[1]Viirs77-Sol'!$C$2:$C$694&amp;'[1]Viirs77-Sol'!$D$2:$D$694,'[1]Viirs77-Sol'!$E$2:$E$694)</f>
        <v>3170.1793200000002</v>
      </c>
      <c r="G368" s="7" cm="1">
        <f t="array" ref="G368">_xlfn.XLOOKUP(B368&amp;E368,'[2]Viirs77-Mean'!$A$2:$A$694&amp;'[2]Viirs77-Mean'!$D$2:$D$694,'[2]Viirs77-Mean'!$E$2:$E$694)</f>
        <v>4.7980552000000003E-2</v>
      </c>
      <c r="H368" s="9" cm="1">
        <f t="array" ref="H368">_xlfn.XLOOKUP(D368,cleanprovinces!$B$2:$B$78,_xlfn.XLOOKUP(panel!E368,cleanprovinces!$C$1:$AC$1,cleanprovinces!$C$2:$AC$78,"no",0,1))</f>
        <v>7699</v>
      </c>
      <c r="I368" s="4">
        <f t="shared" si="16"/>
        <v>7699000000</v>
      </c>
      <c r="J368" s="3" cm="1">
        <f t="array" ref="J368">_xlfn.XLOOKUP(D368,[3]Sheet1!$B$2:$B$78,_xlfn.XLOOKUP(E368,[3]Sheet1!$C$1:$AC$1,[3]Sheet1!$C$2:$AC$78))</f>
        <v>239</v>
      </c>
      <c r="K368" s="3">
        <f t="shared" si="15"/>
        <v>239000</v>
      </c>
      <c r="L368" s="3">
        <f t="shared" si="17"/>
        <v>32213.389121338911</v>
      </c>
      <c r="M368" s="10">
        <v>98.029566776532604</v>
      </c>
      <c r="N368" s="10">
        <v>18.751740877339</v>
      </c>
    </row>
    <row r="369" spans="1:14" hidden="1" x14ac:dyDescent="0.3">
      <c r="A369" s="5">
        <v>74</v>
      </c>
      <c r="B369" s="5" t="str">
        <f>_xlfn.XLOOKUP(D369,'[1]Viirs77-Sol'!$C$2:$C$694,'[1]Viirs77-Sol'!$A$2:$A$694)</f>
        <v>TH-58</v>
      </c>
      <c r="C369" s="5" t="str">
        <f>_xlfn.XLOOKUP(D369,cleanprovinces!$B:$B,cleanprovinces!$A:$A)</f>
        <v>NO</v>
      </c>
      <c r="D369" s="5" t="s">
        <v>51</v>
      </c>
      <c r="E369" s="6">
        <v>2021</v>
      </c>
      <c r="F369" s="7" cm="1">
        <f t="array" ref="F369">_xlfn.XLOOKUP(D369&amp;E369,'[1]Viirs77-Sol'!$C$2:$C$694&amp;'[1]Viirs77-Sol'!$D$2:$D$694,'[1]Viirs77-Sol'!$E$2:$E$694)</f>
        <v>3229.9850390000001</v>
      </c>
      <c r="G369" s="7" cm="1">
        <f t="array" ref="G369">_xlfn.XLOOKUP(B369&amp;E369,'[2]Viirs77-Mean'!$A$2:$A$694&amp;'[2]Viirs77-Mean'!$D$2:$D$694,'[2]Viirs77-Mean'!$E$2:$E$694)</f>
        <v>4.8885709999999999E-2</v>
      </c>
      <c r="H369" s="9" cm="1">
        <f t="array" ref="H369">_xlfn.XLOOKUP(D369,cleanprovinces!$B$2:$B$78,_xlfn.XLOOKUP(panel!E369,cleanprovinces!$C$1:$AC$1,cleanprovinces!$C$2:$AC$78,"no",0,1))</f>
        <v>7808</v>
      </c>
      <c r="I369" s="4">
        <f t="shared" si="16"/>
        <v>7808000000</v>
      </c>
      <c r="J369" s="3" cm="1">
        <f t="array" ref="J369">_xlfn.XLOOKUP(D369,[3]Sheet1!$B$2:$B$78,_xlfn.XLOOKUP(E369,[3]Sheet1!$C$1:$AC$1,[3]Sheet1!$C$2:$AC$78))</f>
        <v>241</v>
      </c>
      <c r="K369" s="3">
        <f t="shared" si="15"/>
        <v>241000</v>
      </c>
      <c r="L369" s="3">
        <f t="shared" si="17"/>
        <v>32398.340248962657</v>
      </c>
      <c r="M369" s="10">
        <v>98.029566776532604</v>
      </c>
      <c r="N369" s="10">
        <v>18.751740877339</v>
      </c>
    </row>
    <row r="370" spans="1:14" hidden="1" x14ac:dyDescent="0.3">
      <c r="A370" s="5">
        <v>2</v>
      </c>
      <c r="B370" s="5" t="str">
        <f>_xlfn.XLOOKUP(D370,'[1]Viirs77-Sol'!$C$2:$C$694,'[1]Viirs77-Sol'!$A$2:$A$694)</f>
        <v>TH-60</v>
      </c>
      <c r="C370" s="5" t="str">
        <f>_xlfn.XLOOKUP(D370,cleanprovinces!$B:$B,cleanprovinces!$A:$A)</f>
        <v>NO</v>
      </c>
      <c r="D370" s="5" t="s">
        <v>57</v>
      </c>
      <c r="E370" s="6">
        <v>2014</v>
      </c>
      <c r="F370" s="7" cm="1">
        <f t="array" ref="F370">_xlfn.XLOOKUP(D370&amp;E370,'[1]Viirs77-Sol'!$C$2:$C$694&amp;'[1]Viirs77-Sol'!$D$2:$D$694,'[1]Viirs77-Sol'!$E$2:$E$694)</f>
        <v>15056.60111</v>
      </c>
      <c r="G370" s="7" cm="1">
        <f t="array" ref="G370">_xlfn.XLOOKUP(B370&amp;E370,'[2]Viirs77-Mean'!$A$2:$A$694&amp;'[2]Viirs77-Mean'!$D$2:$D$694,'[2]Viirs77-Mean'!$E$2:$E$694)</f>
        <v>0.31903321299999998</v>
      </c>
      <c r="H370" s="9" cm="1">
        <f t="array" ref="H370">_xlfn.XLOOKUP(D370,cleanprovinces!$B$2:$B$78,_xlfn.XLOOKUP(panel!E370,cleanprovinces!$C$1:$AC$1,cleanprovinces!$C$2:$AC$78,"no",0,1))</f>
        <v>61608</v>
      </c>
      <c r="I370" s="4">
        <f t="shared" si="16"/>
        <v>61608000000</v>
      </c>
      <c r="J370" s="3" cm="1">
        <f t="array" ref="J370">_xlfn.XLOOKUP(D370,[3]Sheet1!$B$2:$B$78,_xlfn.XLOOKUP(E370,[3]Sheet1!$C$1:$AC$1,[3]Sheet1!$C$2:$AC$78))</f>
        <v>971</v>
      </c>
      <c r="K370" s="3">
        <f t="shared" si="15"/>
        <v>971000</v>
      </c>
      <c r="L370" s="3">
        <f t="shared" si="17"/>
        <v>63447.991761071062</v>
      </c>
      <c r="M370" s="10">
        <v>100.135825156173</v>
      </c>
      <c r="N370" s="10">
        <v>15.6927766445404</v>
      </c>
    </row>
    <row r="371" spans="1:14" hidden="1" x14ac:dyDescent="0.3">
      <c r="A371" s="5">
        <v>2</v>
      </c>
      <c r="B371" s="5" t="str">
        <f>_xlfn.XLOOKUP(D371,'[1]Viirs77-Sol'!$C$2:$C$694,'[1]Viirs77-Sol'!$A$2:$A$694)</f>
        <v>TH-60</v>
      </c>
      <c r="C371" s="5" t="str">
        <f>_xlfn.XLOOKUP(D371,cleanprovinces!$B:$B,cleanprovinces!$A:$A)</f>
        <v>NO</v>
      </c>
      <c r="D371" s="5" t="s">
        <v>57</v>
      </c>
      <c r="E371" s="6">
        <v>2015</v>
      </c>
      <c r="F371" s="7" cm="1">
        <f t="array" ref="F371">_xlfn.XLOOKUP(D371&amp;E371,'[1]Viirs77-Sol'!$C$2:$C$694&amp;'[1]Viirs77-Sol'!$D$2:$D$694,'[1]Viirs77-Sol'!$E$2:$E$694)</f>
        <v>17891.945080000001</v>
      </c>
      <c r="G371" s="7" cm="1">
        <f t="array" ref="G371">_xlfn.XLOOKUP(B371&amp;E371,'[2]Viirs77-Mean'!$A$2:$A$694&amp;'[2]Viirs77-Mean'!$D$2:$D$694,'[2]Viirs77-Mean'!$E$2:$E$694)</f>
        <v>0.37911110799999997</v>
      </c>
      <c r="H371" s="9" cm="1">
        <f t="array" ref="H371">_xlfn.XLOOKUP(D371,cleanprovinces!$B$2:$B$78,_xlfn.XLOOKUP(panel!E371,cleanprovinces!$C$1:$AC$1,cleanprovinces!$C$2:$AC$78,"no",0,1))</f>
        <v>59736</v>
      </c>
      <c r="I371" s="4">
        <f t="shared" si="16"/>
        <v>59736000000</v>
      </c>
      <c r="J371" s="3" cm="1">
        <f t="array" ref="J371">_xlfn.XLOOKUP(D371,[3]Sheet1!$B$2:$B$78,_xlfn.XLOOKUP(E371,[3]Sheet1!$C$1:$AC$1,[3]Sheet1!$C$2:$AC$78))</f>
        <v>965</v>
      </c>
      <c r="K371" s="3">
        <f t="shared" si="15"/>
        <v>965000</v>
      </c>
      <c r="L371" s="3">
        <f t="shared" si="17"/>
        <v>61902.590673575127</v>
      </c>
      <c r="M371" s="10">
        <v>100.135825156173</v>
      </c>
      <c r="N371" s="10">
        <v>15.6927766445404</v>
      </c>
    </row>
    <row r="372" spans="1:14" hidden="1" x14ac:dyDescent="0.3">
      <c r="A372" s="5">
        <v>2</v>
      </c>
      <c r="B372" s="5" t="str">
        <f>_xlfn.XLOOKUP(D372,'[1]Viirs77-Sol'!$C$2:$C$694,'[1]Viirs77-Sol'!$A$2:$A$694)</f>
        <v>TH-60</v>
      </c>
      <c r="C372" s="5" t="str">
        <f>_xlfn.XLOOKUP(D372,cleanprovinces!$B:$B,cleanprovinces!$A:$A)</f>
        <v>NO</v>
      </c>
      <c r="D372" s="5" t="s">
        <v>57</v>
      </c>
      <c r="E372" s="6">
        <v>2016</v>
      </c>
      <c r="F372" s="7" cm="1">
        <f t="array" ref="F372">_xlfn.XLOOKUP(D372&amp;E372,'[1]Viirs77-Sol'!$C$2:$C$694&amp;'[1]Viirs77-Sol'!$D$2:$D$694,'[1]Viirs77-Sol'!$E$2:$E$694)</f>
        <v>19362.921040000001</v>
      </c>
      <c r="G372" s="7" cm="1">
        <f t="array" ref="G372">_xlfn.XLOOKUP(B372&amp;E372,'[2]Viirs77-Mean'!$A$2:$A$694&amp;'[2]Viirs77-Mean'!$D$2:$D$694,'[2]Viirs77-Mean'!$E$2:$E$694)</f>
        <v>0.41027951000000001</v>
      </c>
      <c r="H372" s="9" cm="1">
        <f t="array" ref="H372">_xlfn.XLOOKUP(D372,cleanprovinces!$B$2:$B$78,_xlfn.XLOOKUP(panel!E372,cleanprovinces!$C$1:$AC$1,cleanprovinces!$C$2:$AC$78,"no",0,1))</f>
        <v>56343</v>
      </c>
      <c r="I372" s="4">
        <f t="shared" si="16"/>
        <v>56343000000</v>
      </c>
      <c r="J372" s="3" cm="1">
        <f t="array" ref="J372">_xlfn.XLOOKUP(D372,[3]Sheet1!$B$2:$B$78,_xlfn.XLOOKUP(E372,[3]Sheet1!$C$1:$AC$1,[3]Sheet1!$C$2:$AC$78))</f>
        <v>956</v>
      </c>
      <c r="K372" s="3">
        <f t="shared" si="15"/>
        <v>956000</v>
      </c>
      <c r="L372" s="3">
        <f t="shared" si="17"/>
        <v>58936.192468619243</v>
      </c>
      <c r="M372" s="10">
        <v>100.135825156173</v>
      </c>
      <c r="N372" s="10">
        <v>15.6927766445404</v>
      </c>
    </row>
    <row r="373" spans="1:14" hidden="1" x14ac:dyDescent="0.3">
      <c r="A373" s="5">
        <v>2</v>
      </c>
      <c r="B373" s="5" t="str">
        <f>_xlfn.XLOOKUP(D373,'[1]Viirs77-Sol'!$C$2:$C$694,'[1]Viirs77-Sol'!$A$2:$A$694)</f>
        <v>TH-60</v>
      </c>
      <c r="C373" s="5" t="str">
        <f>_xlfn.XLOOKUP(D373,cleanprovinces!$B:$B,cleanprovinces!$A:$A)</f>
        <v>NO</v>
      </c>
      <c r="D373" s="5" t="s">
        <v>57</v>
      </c>
      <c r="E373" s="6">
        <v>2017</v>
      </c>
      <c r="F373" s="7" cm="1">
        <f t="array" ref="F373">_xlfn.XLOOKUP(D373&amp;E373,'[1]Viirs77-Sol'!$C$2:$C$694&amp;'[1]Viirs77-Sol'!$D$2:$D$694,'[1]Viirs77-Sol'!$E$2:$E$694)</f>
        <v>23880.523010000001</v>
      </c>
      <c r="G373" s="7" cm="1">
        <f t="array" ref="G373">_xlfn.XLOOKUP(B373&amp;E373,'[2]Viirs77-Mean'!$A$2:$A$694&amp;'[2]Viirs77-Mean'!$D$2:$D$694,'[2]Viirs77-Mean'!$E$2:$E$694)</f>
        <v>0.506002646</v>
      </c>
      <c r="H373" s="9" cm="1">
        <f t="array" ref="H373">_xlfn.XLOOKUP(D373,cleanprovinces!$B$2:$B$78,_xlfn.XLOOKUP(panel!E373,cleanprovinces!$C$1:$AC$1,cleanprovinces!$C$2:$AC$78,"no",0,1))</f>
        <v>59298</v>
      </c>
      <c r="I373" s="4">
        <f t="shared" si="16"/>
        <v>59298000000</v>
      </c>
      <c r="J373" s="3" cm="1">
        <f t="array" ref="J373">_xlfn.XLOOKUP(D373,[3]Sheet1!$B$2:$B$78,_xlfn.XLOOKUP(E373,[3]Sheet1!$C$1:$AC$1,[3]Sheet1!$C$2:$AC$78))</f>
        <v>947</v>
      </c>
      <c r="K373" s="3">
        <f t="shared" si="15"/>
        <v>947000</v>
      </c>
      <c r="L373" s="3">
        <f t="shared" si="17"/>
        <v>62616.684266103483</v>
      </c>
      <c r="M373" s="10">
        <v>100.135825156173</v>
      </c>
      <c r="N373" s="10">
        <v>15.6927766445404</v>
      </c>
    </row>
    <row r="374" spans="1:14" hidden="1" x14ac:dyDescent="0.3">
      <c r="A374" s="5">
        <v>2</v>
      </c>
      <c r="B374" s="5" t="str">
        <f>_xlfn.XLOOKUP(D374,'[1]Viirs77-Sol'!$C$2:$C$694,'[1]Viirs77-Sol'!$A$2:$A$694)</f>
        <v>TH-60</v>
      </c>
      <c r="C374" s="5" t="str">
        <f>_xlfn.XLOOKUP(D374,cleanprovinces!$B:$B,cleanprovinces!$A:$A)</f>
        <v>NO</v>
      </c>
      <c r="D374" s="5" t="s">
        <v>57</v>
      </c>
      <c r="E374" s="6">
        <v>2018</v>
      </c>
      <c r="F374" s="7" cm="1">
        <f t="array" ref="F374">_xlfn.XLOOKUP(D374&amp;E374,'[1]Viirs77-Sol'!$C$2:$C$694&amp;'[1]Viirs77-Sol'!$D$2:$D$694,'[1]Viirs77-Sol'!$E$2:$E$694)</f>
        <v>25107.467949999998</v>
      </c>
      <c r="G374" s="7" cm="1">
        <f t="array" ref="G374">_xlfn.XLOOKUP(B374&amp;E374,'[2]Viirs77-Mean'!$A$2:$A$694&amp;'[2]Viirs77-Mean'!$D$2:$D$694,'[2]Viirs77-Mean'!$E$2:$E$694)</f>
        <v>0.53200029199999999</v>
      </c>
      <c r="H374" s="9" cm="1">
        <f t="array" ref="H374">_xlfn.XLOOKUP(D374,cleanprovinces!$B$2:$B$78,_xlfn.XLOOKUP(panel!E374,cleanprovinces!$C$1:$AC$1,cleanprovinces!$C$2:$AC$78,"no",0,1))</f>
        <v>63380</v>
      </c>
      <c r="I374" s="4">
        <f t="shared" si="16"/>
        <v>63380000000</v>
      </c>
      <c r="J374" s="3" cm="1">
        <f t="array" ref="J374">_xlfn.XLOOKUP(D374,[3]Sheet1!$B$2:$B$78,_xlfn.XLOOKUP(E374,[3]Sheet1!$C$1:$AC$1,[3]Sheet1!$C$2:$AC$78))</f>
        <v>938</v>
      </c>
      <c r="K374" s="3">
        <f t="shared" si="15"/>
        <v>938000</v>
      </c>
      <c r="L374" s="3">
        <f t="shared" si="17"/>
        <v>67569.296375266524</v>
      </c>
      <c r="M374" s="10">
        <v>100.135825156173</v>
      </c>
      <c r="N374" s="10">
        <v>15.6927766445404</v>
      </c>
    </row>
    <row r="375" spans="1:14" hidden="1" x14ac:dyDescent="0.3">
      <c r="A375" s="5">
        <v>2</v>
      </c>
      <c r="B375" s="5" t="str">
        <f>_xlfn.XLOOKUP(D375,'[1]Viirs77-Sol'!$C$2:$C$694,'[1]Viirs77-Sol'!$A$2:$A$694)</f>
        <v>TH-60</v>
      </c>
      <c r="C375" s="5" t="str">
        <f>_xlfn.XLOOKUP(D375,cleanprovinces!$B:$B,cleanprovinces!$A:$A)</f>
        <v>NO</v>
      </c>
      <c r="D375" s="5" t="s">
        <v>57</v>
      </c>
      <c r="E375" s="6">
        <v>2019</v>
      </c>
      <c r="F375" s="7" cm="1">
        <f t="array" ref="F375">_xlfn.XLOOKUP(D375&amp;E375,'[1]Viirs77-Sol'!$C$2:$C$694&amp;'[1]Viirs77-Sol'!$D$2:$D$694,'[1]Viirs77-Sol'!$E$2:$E$694)</f>
        <v>27156.855629999998</v>
      </c>
      <c r="G375" s="7" cm="1">
        <f t="array" ref="G375">_xlfn.XLOOKUP(B375&amp;E375,'[2]Viirs77-Mean'!$A$2:$A$694&amp;'[2]Viirs77-Mean'!$D$2:$D$694,'[2]Viirs77-Mean'!$E$2:$E$694)</f>
        <v>0.57542461700000003</v>
      </c>
      <c r="H375" s="9" cm="1">
        <f t="array" ref="H375">_xlfn.XLOOKUP(D375,cleanprovinces!$B$2:$B$78,_xlfn.XLOOKUP(panel!E375,cleanprovinces!$C$1:$AC$1,cleanprovinces!$C$2:$AC$78,"no",0,1))</f>
        <v>62490</v>
      </c>
      <c r="I375" s="4">
        <f t="shared" si="16"/>
        <v>62490000000</v>
      </c>
      <c r="J375" s="3" cm="1">
        <f t="array" ref="J375">_xlfn.XLOOKUP(D375,[3]Sheet1!$B$2:$B$78,_xlfn.XLOOKUP(E375,[3]Sheet1!$C$1:$AC$1,[3]Sheet1!$C$2:$AC$78))</f>
        <v>929</v>
      </c>
      <c r="K375" s="3">
        <f t="shared" si="15"/>
        <v>929000</v>
      </c>
      <c r="L375" s="3">
        <f t="shared" si="17"/>
        <v>67265.87728740582</v>
      </c>
      <c r="M375" s="10">
        <v>100.135825156173</v>
      </c>
      <c r="N375" s="10">
        <v>15.6927766445404</v>
      </c>
    </row>
    <row r="376" spans="1:14" hidden="1" x14ac:dyDescent="0.3">
      <c r="A376" s="5">
        <v>2</v>
      </c>
      <c r="B376" s="5" t="str">
        <f>_xlfn.XLOOKUP(D376,'[1]Viirs77-Sol'!$C$2:$C$694,'[1]Viirs77-Sol'!$A$2:$A$694)</f>
        <v>TH-60</v>
      </c>
      <c r="C376" s="5" t="str">
        <f>_xlfn.XLOOKUP(D376,cleanprovinces!$B:$B,cleanprovinces!$A:$A)</f>
        <v>NO</v>
      </c>
      <c r="D376" s="5" t="s">
        <v>57</v>
      </c>
      <c r="E376" s="6">
        <v>2020</v>
      </c>
      <c r="F376" s="7" cm="1">
        <f t="array" ref="F376">_xlfn.XLOOKUP(D376&amp;E376,'[1]Viirs77-Sol'!$C$2:$C$694&amp;'[1]Viirs77-Sol'!$D$2:$D$694,'[1]Viirs77-Sol'!$E$2:$E$694)</f>
        <v>28616.006119999998</v>
      </c>
      <c r="G376" s="7" cm="1">
        <f t="array" ref="G376">_xlfn.XLOOKUP(B376&amp;E376,'[2]Viirs77-Mean'!$A$2:$A$694&amp;'[2]Viirs77-Mean'!$D$2:$D$694,'[2]Viirs77-Mean'!$E$2:$E$694)</f>
        <v>0.60634244900000001</v>
      </c>
      <c r="H376" s="9" cm="1">
        <f t="array" ref="H376">_xlfn.XLOOKUP(D376,cleanprovinces!$B$2:$B$78,_xlfn.XLOOKUP(panel!E376,cleanprovinces!$C$1:$AC$1,cleanprovinces!$C$2:$AC$78,"no",0,1))</f>
        <v>58589</v>
      </c>
      <c r="I376" s="4">
        <f t="shared" si="16"/>
        <v>58589000000</v>
      </c>
      <c r="J376" s="3" cm="1">
        <f t="array" ref="J376">_xlfn.XLOOKUP(D376,[3]Sheet1!$B$2:$B$78,_xlfn.XLOOKUP(E376,[3]Sheet1!$C$1:$AC$1,[3]Sheet1!$C$2:$AC$78))</f>
        <v>920</v>
      </c>
      <c r="K376" s="3">
        <f t="shared" si="15"/>
        <v>920000</v>
      </c>
      <c r="L376" s="3">
        <f t="shared" si="17"/>
        <v>63683.695652173912</v>
      </c>
      <c r="M376" s="10">
        <v>100.135825156173</v>
      </c>
      <c r="N376" s="10">
        <v>15.6927766445404</v>
      </c>
    </row>
    <row r="377" spans="1:14" hidden="1" x14ac:dyDescent="0.3">
      <c r="A377" s="5">
        <v>2</v>
      </c>
      <c r="B377" s="5" t="str">
        <f>_xlfn.XLOOKUP(D377,'[1]Viirs77-Sol'!$C$2:$C$694,'[1]Viirs77-Sol'!$A$2:$A$694)</f>
        <v>TH-60</v>
      </c>
      <c r="C377" s="5" t="str">
        <f>_xlfn.XLOOKUP(D377,cleanprovinces!$B:$B,cleanprovinces!$A:$A)</f>
        <v>NO</v>
      </c>
      <c r="D377" s="5" t="s">
        <v>57</v>
      </c>
      <c r="E377" s="6">
        <v>2021</v>
      </c>
      <c r="F377" s="7" cm="1">
        <f t="array" ref="F377">_xlfn.XLOOKUP(D377&amp;E377,'[1]Viirs77-Sol'!$C$2:$C$694&amp;'[1]Viirs77-Sol'!$D$2:$D$694,'[1]Viirs77-Sol'!$E$2:$E$694)</f>
        <v>33596.058060000003</v>
      </c>
      <c r="G377" s="7" cm="1">
        <f t="array" ref="G377">_xlfn.XLOOKUP(B377&amp;E377,'[2]Viirs77-Mean'!$A$2:$A$694&amp;'[2]Viirs77-Mean'!$D$2:$D$694,'[2]Viirs77-Mean'!$E$2:$E$694)</f>
        <v>0.71186440299999998</v>
      </c>
      <c r="H377" s="9" cm="1">
        <f t="array" ref="H377">_xlfn.XLOOKUP(D377,cleanprovinces!$B$2:$B$78,_xlfn.XLOOKUP(panel!E377,cleanprovinces!$C$1:$AC$1,cleanprovinces!$C$2:$AC$78,"no",0,1))</f>
        <v>58082</v>
      </c>
      <c r="I377" s="4">
        <f t="shared" si="16"/>
        <v>58082000000</v>
      </c>
      <c r="J377" s="3" cm="1">
        <f t="array" ref="J377">_xlfn.XLOOKUP(D377,[3]Sheet1!$B$2:$B$78,_xlfn.XLOOKUP(E377,[3]Sheet1!$C$1:$AC$1,[3]Sheet1!$C$2:$AC$78))</f>
        <v>912</v>
      </c>
      <c r="K377" s="3">
        <f t="shared" si="15"/>
        <v>912000</v>
      </c>
      <c r="L377" s="3">
        <f t="shared" si="17"/>
        <v>63686.403508771931</v>
      </c>
      <c r="M377" s="10">
        <v>100.135825156173</v>
      </c>
      <c r="N377" s="10">
        <v>15.6927766445404</v>
      </c>
    </row>
    <row r="378" spans="1:14" hidden="1" x14ac:dyDescent="0.3">
      <c r="A378" s="5">
        <v>70</v>
      </c>
      <c r="B378" s="5" t="str">
        <f>_xlfn.XLOOKUP(D378,'[1]Viirs77-Sol'!$C$2:$C$694,'[1]Viirs77-Sol'!$A$2:$A$694)</f>
        <v>TH-55</v>
      </c>
      <c r="C378" s="5" t="str">
        <f>_xlfn.XLOOKUP(D378,cleanprovinces!$B:$B,cleanprovinces!$A:$A)</f>
        <v>NO</v>
      </c>
      <c r="D378" s="5" t="s">
        <v>55</v>
      </c>
      <c r="E378" s="6">
        <v>2014</v>
      </c>
      <c r="F378" s="7" cm="1">
        <f t="array" ref="F378">_xlfn.XLOOKUP(D378&amp;E378,'[1]Viirs77-Sol'!$C$2:$C$694&amp;'[1]Viirs77-Sol'!$D$2:$D$694,'[1]Viirs77-Sol'!$E$2:$E$694)</f>
        <v>4567.4352509999999</v>
      </c>
      <c r="G378" s="7" cm="1">
        <f t="array" ref="G378">_xlfn.XLOOKUP(B378&amp;E378,'[2]Viirs77-Mean'!$A$2:$A$694&amp;'[2]Viirs77-Mean'!$D$2:$D$694,'[2]Viirs77-Mean'!$E$2:$E$694)</f>
        <v>7.5530184E-2</v>
      </c>
      <c r="H378" s="9" cm="1">
        <f t="array" ref="H378">_xlfn.XLOOKUP(D378,cleanprovinces!$B$2:$B$78,_xlfn.XLOOKUP(panel!E378,cleanprovinces!$C$1:$AC$1,cleanprovinces!$C$2:$AC$78,"no",0,1))</f>
        <v>15671</v>
      </c>
      <c r="I378" s="4">
        <f t="shared" si="16"/>
        <v>15671000000</v>
      </c>
      <c r="J378" s="3" cm="1">
        <f t="array" ref="J378">_xlfn.XLOOKUP(D378,[3]Sheet1!$B$2:$B$78,_xlfn.XLOOKUP(E378,[3]Sheet1!$C$1:$AC$1,[3]Sheet1!$C$2:$AC$78))</f>
        <v>451</v>
      </c>
      <c r="K378" s="3">
        <f t="shared" si="15"/>
        <v>451000</v>
      </c>
      <c r="L378" s="3">
        <f t="shared" si="17"/>
        <v>34747.22838137472</v>
      </c>
      <c r="M378" s="10">
        <v>100.83394188059199</v>
      </c>
      <c r="N378" s="10">
        <v>18.853632540548901</v>
      </c>
    </row>
    <row r="379" spans="1:14" hidden="1" x14ac:dyDescent="0.3">
      <c r="A379" s="5">
        <v>70</v>
      </c>
      <c r="B379" s="5" t="str">
        <f>_xlfn.XLOOKUP(D379,'[1]Viirs77-Sol'!$C$2:$C$694,'[1]Viirs77-Sol'!$A$2:$A$694)</f>
        <v>TH-55</v>
      </c>
      <c r="C379" s="5" t="str">
        <f>_xlfn.XLOOKUP(D379,cleanprovinces!$B:$B,cleanprovinces!$A:$A)</f>
        <v>NO</v>
      </c>
      <c r="D379" s="5" t="s">
        <v>55</v>
      </c>
      <c r="E379" s="6">
        <v>2015</v>
      </c>
      <c r="F379" s="7" cm="1">
        <f t="array" ref="F379">_xlfn.XLOOKUP(D379&amp;E379,'[1]Viirs77-Sol'!$C$2:$C$694&amp;'[1]Viirs77-Sol'!$D$2:$D$694,'[1]Viirs77-Sol'!$E$2:$E$694)</f>
        <v>5431.9796580000002</v>
      </c>
      <c r="G379" s="7" cm="1">
        <f t="array" ref="G379">_xlfn.XLOOKUP(B379&amp;E379,'[2]Viirs77-Mean'!$A$2:$A$694&amp;'[2]Viirs77-Mean'!$D$2:$D$694,'[2]Viirs77-Mean'!$E$2:$E$694)</f>
        <v>8.9826873000000002E-2</v>
      </c>
      <c r="H379" s="9" cm="1">
        <f t="array" ref="H379">_xlfn.XLOOKUP(D379,cleanprovinces!$B$2:$B$78,_xlfn.XLOOKUP(panel!E379,cleanprovinces!$C$1:$AC$1,cleanprovinces!$C$2:$AC$78,"no",0,1))</f>
        <v>16565</v>
      </c>
      <c r="I379" s="4">
        <f t="shared" si="16"/>
        <v>16565000000</v>
      </c>
      <c r="J379" s="3" cm="1">
        <f t="array" ref="J379">_xlfn.XLOOKUP(D379,[3]Sheet1!$B$2:$B$78,_xlfn.XLOOKUP(E379,[3]Sheet1!$C$1:$AC$1,[3]Sheet1!$C$2:$AC$78))</f>
        <v>450</v>
      </c>
      <c r="K379" s="3">
        <f t="shared" si="15"/>
        <v>450000</v>
      </c>
      <c r="L379" s="3">
        <f t="shared" si="17"/>
        <v>36811.111111111109</v>
      </c>
      <c r="M379" s="10">
        <v>100.83394188059199</v>
      </c>
      <c r="N379" s="10">
        <v>18.853632540548901</v>
      </c>
    </row>
    <row r="380" spans="1:14" hidden="1" x14ac:dyDescent="0.3">
      <c r="A380" s="5">
        <v>70</v>
      </c>
      <c r="B380" s="5" t="str">
        <f>_xlfn.XLOOKUP(D380,'[1]Viirs77-Sol'!$C$2:$C$694,'[1]Viirs77-Sol'!$A$2:$A$694)</f>
        <v>TH-55</v>
      </c>
      <c r="C380" s="5" t="str">
        <f>_xlfn.XLOOKUP(D380,cleanprovinces!$B:$B,cleanprovinces!$A:$A)</f>
        <v>NO</v>
      </c>
      <c r="D380" s="5" t="s">
        <v>55</v>
      </c>
      <c r="E380" s="6">
        <v>2016</v>
      </c>
      <c r="F380" s="7" cm="1">
        <f t="array" ref="F380">_xlfn.XLOOKUP(D380&amp;E380,'[1]Viirs77-Sol'!$C$2:$C$694&amp;'[1]Viirs77-Sol'!$D$2:$D$694,'[1]Viirs77-Sol'!$E$2:$E$694)</f>
        <v>5234.9240959999997</v>
      </c>
      <c r="G380" s="7" cm="1">
        <f t="array" ref="G380">_xlfn.XLOOKUP(B380&amp;E380,'[2]Viirs77-Mean'!$A$2:$A$694&amp;'[2]Viirs77-Mean'!$D$2:$D$694,'[2]Viirs77-Mean'!$E$2:$E$694)</f>
        <v>8.6568228999999997E-2</v>
      </c>
      <c r="H380" s="9" cm="1">
        <f t="array" ref="H380">_xlfn.XLOOKUP(D380,cleanprovinces!$B$2:$B$78,_xlfn.XLOOKUP(panel!E380,cleanprovinces!$C$1:$AC$1,cleanprovinces!$C$2:$AC$78,"no",0,1))</f>
        <v>17039</v>
      </c>
      <c r="I380" s="4">
        <f t="shared" si="16"/>
        <v>17039000000</v>
      </c>
      <c r="J380" s="3" cm="1">
        <f t="array" ref="J380">_xlfn.XLOOKUP(D380,[3]Sheet1!$B$2:$B$78,_xlfn.XLOOKUP(E380,[3]Sheet1!$C$1:$AC$1,[3]Sheet1!$C$2:$AC$78))</f>
        <v>448</v>
      </c>
      <c r="K380" s="3">
        <f t="shared" si="15"/>
        <v>448000</v>
      </c>
      <c r="L380" s="3">
        <f t="shared" si="17"/>
        <v>38033.482142857145</v>
      </c>
      <c r="M380" s="10">
        <v>100.83394188059199</v>
      </c>
      <c r="N380" s="10">
        <v>18.853632540548901</v>
      </c>
    </row>
    <row r="381" spans="1:14" hidden="1" x14ac:dyDescent="0.3">
      <c r="A381" s="5">
        <v>70</v>
      </c>
      <c r="B381" s="5" t="str">
        <f>_xlfn.XLOOKUP(D381,'[1]Viirs77-Sol'!$C$2:$C$694,'[1]Viirs77-Sol'!$A$2:$A$694)</f>
        <v>TH-55</v>
      </c>
      <c r="C381" s="5" t="str">
        <f>_xlfn.XLOOKUP(D381,cleanprovinces!$B:$B,cleanprovinces!$A:$A)</f>
        <v>NO</v>
      </c>
      <c r="D381" s="5" t="s">
        <v>55</v>
      </c>
      <c r="E381" s="6">
        <v>2017</v>
      </c>
      <c r="F381" s="7" cm="1">
        <f t="array" ref="F381">_xlfn.XLOOKUP(D381&amp;E381,'[1]Viirs77-Sol'!$C$2:$C$694&amp;'[1]Viirs77-Sol'!$D$2:$D$694,'[1]Viirs77-Sol'!$E$2:$E$694)</f>
        <v>7217.5334670000002</v>
      </c>
      <c r="G381" s="7" cm="1">
        <f t="array" ref="G381">_xlfn.XLOOKUP(B381&amp;E381,'[2]Viirs77-Mean'!$A$2:$A$694&amp;'[2]Viirs77-Mean'!$D$2:$D$694,'[2]Viirs77-Mean'!$E$2:$E$694)</f>
        <v>0.11935399300000001</v>
      </c>
      <c r="H381" s="9" cm="1">
        <f t="array" ref="H381">_xlfn.XLOOKUP(D381,cleanprovinces!$B$2:$B$78,_xlfn.XLOOKUP(panel!E381,cleanprovinces!$C$1:$AC$1,cleanprovinces!$C$2:$AC$78,"no",0,1))</f>
        <v>17651</v>
      </c>
      <c r="I381" s="4">
        <f t="shared" si="16"/>
        <v>17651000000</v>
      </c>
      <c r="J381" s="3" cm="1">
        <f t="array" ref="J381">_xlfn.XLOOKUP(D381,[3]Sheet1!$B$2:$B$78,_xlfn.XLOOKUP(E381,[3]Sheet1!$C$1:$AC$1,[3]Sheet1!$C$2:$AC$78))</f>
        <v>447</v>
      </c>
      <c r="K381" s="3">
        <f t="shared" si="15"/>
        <v>447000</v>
      </c>
      <c r="L381" s="3">
        <f t="shared" si="17"/>
        <v>39487.695749440718</v>
      </c>
      <c r="M381" s="10">
        <v>100.83394188059199</v>
      </c>
      <c r="N381" s="10">
        <v>18.853632540548901</v>
      </c>
    </row>
    <row r="382" spans="1:14" hidden="1" x14ac:dyDescent="0.3">
      <c r="A382" s="5">
        <v>70</v>
      </c>
      <c r="B382" s="5" t="str">
        <f>_xlfn.XLOOKUP(D382,'[1]Viirs77-Sol'!$C$2:$C$694,'[1]Viirs77-Sol'!$A$2:$A$694)</f>
        <v>TH-55</v>
      </c>
      <c r="C382" s="5" t="str">
        <f>_xlfn.XLOOKUP(D382,cleanprovinces!$B:$B,cleanprovinces!$A:$A)</f>
        <v>NO</v>
      </c>
      <c r="D382" s="5" t="s">
        <v>55</v>
      </c>
      <c r="E382" s="6">
        <v>2018</v>
      </c>
      <c r="F382" s="7" cm="1">
        <f t="array" ref="F382">_xlfn.XLOOKUP(D382&amp;E382,'[1]Viirs77-Sol'!$C$2:$C$694&amp;'[1]Viirs77-Sol'!$D$2:$D$694,'[1]Viirs77-Sol'!$E$2:$E$694)</f>
        <v>7441.1405999999997</v>
      </c>
      <c r="G382" s="7" cm="1">
        <f t="array" ref="G382">_xlfn.XLOOKUP(B382&amp;E382,'[2]Viirs77-Mean'!$A$2:$A$694&amp;'[2]Viirs77-Mean'!$D$2:$D$694,'[2]Viirs77-Mean'!$E$2:$E$694)</f>
        <v>0.12305171099999999</v>
      </c>
      <c r="H382" s="9" cm="1">
        <f t="array" ref="H382">_xlfn.XLOOKUP(D382,cleanprovinces!$B$2:$B$78,_xlfn.XLOOKUP(panel!E382,cleanprovinces!$C$1:$AC$1,cleanprovinces!$C$2:$AC$78,"no",0,1))</f>
        <v>18573</v>
      </c>
      <c r="I382" s="4">
        <f t="shared" si="16"/>
        <v>18573000000</v>
      </c>
      <c r="J382" s="3" cm="1">
        <f t="array" ref="J382">_xlfn.XLOOKUP(D382,[3]Sheet1!$B$2:$B$78,_xlfn.XLOOKUP(E382,[3]Sheet1!$C$1:$AC$1,[3]Sheet1!$C$2:$AC$78))</f>
        <v>445</v>
      </c>
      <c r="K382" s="3">
        <f t="shared" si="15"/>
        <v>445000</v>
      </c>
      <c r="L382" s="3">
        <f t="shared" si="17"/>
        <v>41737.078651685391</v>
      </c>
      <c r="M382" s="10">
        <v>100.83394188059199</v>
      </c>
      <c r="N382" s="10">
        <v>18.853632540548901</v>
      </c>
    </row>
    <row r="383" spans="1:14" hidden="1" x14ac:dyDescent="0.3">
      <c r="A383" s="5">
        <v>70</v>
      </c>
      <c r="B383" s="5" t="str">
        <f>_xlfn.XLOOKUP(D383,'[1]Viirs77-Sol'!$C$2:$C$694,'[1]Viirs77-Sol'!$A$2:$A$694)</f>
        <v>TH-55</v>
      </c>
      <c r="C383" s="5" t="str">
        <f>_xlfn.XLOOKUP(D383,cleanprovinces!$B:$B,cleanprovinces!$A:$A)</f>
        <v>NO</v>
      </c>
      <c r="D383" s="5" t="s">
        <v>55</v>
      </c>
      <c r="E383" s="6">
        <v>2019</v>
      </c>
      <c r="F383" s="7" cm="1">
        <f t="array" ref="F383">_xlfn.XLOOKUP(D383&amp;E383,'[1]Viirs77-Sol'!$C$2:$C$694&amp;'[1]Viirs77-Sol'!$D$2:$D$694,'[1]Viirs77-Sol'!$E$2:$E$694)</f>
        <v>8258.0600200000008</v>
      </c>
      <c r="G383" s="7" cm="1">
        <f t="array" ref="G383">_xlfn.XLOOKUP(B383&amp;E383,'[2]Viirs77-Mean'!$A$2:$A$694&amp;'[2]Viirs77-Mean'!$D$2:$D$694,'[2]Viirs77-Mean'!$E$2:$E$694)</f>
        <v>0.13656084099999999</v>
      </c>
      <c r="H383" s="9" cm="1">
        <f t="array" ref="H383">_xlfn.XLOOKUP(D383,cleanprovinces!$B$2:$B$78,_xlfn.XLOOKUP(panel!E383,cleanprovinces!$C$1:$AC$1,cleanprovinces!$C$2:$AC$78,"no",0,1))</f>
        <v>18461</v>
      </c>
      <c r="I383" s="4">
        <f t="shared" si="16"/>
        <v>18461000000</v>
      </c>
      <c r="J383" s="3" cm="1">
        <f t="array" ref="J383">_xlfn.XLOOKUP(D383,[3]Sheet1!$B$2:$B$78,_xlfn.XLOOKUP(E383,[3]Sheet1!$C$1:$AC$1,[3]Sheet1!$C$2:$AC$78))</f>
        <v>443</v>
      </c>
      <c r="K383" s="3">
        <f t="shared" si="15"/>
        <v>443000</v>
      </c>
      <c r="L383" s="3">
        <f t="shared" si="17"/>
        <v>41672.686230248306</v>
      </c>
      <c r="M383" s="10">
        <v>100.83394188059199</v>
      </c>
      <c r="N383" s="10">
        <v>18.853632540548901</v>
      </c>
    </row>
    <row r="384" spans="1:14" hidden="1" x14ac:dyDescent="0.3">
      <c r="A384" s="5">
        <v>70</v>
      </c>
      <c r="B384" s="5" t="str">
        <f>_xlfn.XLOOKUP(D384,'[1]Viirs77-Sol'!$C$2:$C$694,'[1]Viirs77-Sol'!$A$2:$A$694)</f>
        <v>TH-55</v>
      </c>
      <c r="C384" s="5" t="str">
        <f>_xlfn.XLOOKUP(D384,cleanprovinces!$B:$B,cleanprovinces!$A:$A)</f>
        <v>NO</v>
      </c>
      <c r="D384" s="5" t="s">
        <v>55</v>
      </c>
      <c r="E384" s="6">
        <v>2020</v>
      </c>
      <c r="F384" s="7" cm="1">
        <f t="array" ref="F384">_xlfn.XLOOKUP(D384&amp;E384,'[1]Viirs77-Sol'!$C$2:$C$694&amp;'[1]Viirs77-Sol'!$D$2:$D$694,'[1]Viirs77-Sol'!$E$2:$E$694)</f>
        <v>9895.3419880000001</v>
      </c>
      <c r="G384" s="7" cm="1">
        <f t="array" ref="G384">_xlfn.XLOOKUP(B384&amp;E384,'[2]Viirs77-Mean'!$A$2:$A$694&amp;'[2]Viirs77-Mean'!$D$2:$D$694,'[2]Viirs77-Mean'!$E$2:$E$694)</f>
        <v>0.16363603700000001</v>
      </c>
      <c r="H384" s="9" cm="1">
        <f t="array" ref="H384">_xlfn.XLOOKUP(D384,cleanprovinces!$B$2:$B$78,_xlfn.XLOOKUP(panel!E384,cleanprovinces!$C$1:$AC$1,cleanprovinces!$C$2:$AC$78,"no",0,1))</f>
        <v>18567</v>
      </c>
      <c r="I384" s="4">
        <f t="shared" si="16"/>
        <v>18567000000</v>
      </c>
      <c r="J384" s="3" cm="1">
        <f t="array" ref="J384">_xlfn.XLOOKUP(D384,[3]Sheet1!$B$2:$B$78,_xlfn.XLOOKUP(E384,[3]Sheet1!$C$1:$AC$1,[3]Sheet1!$C$2:$AC$78))</f>
        <v>441</v>
      </c>
      <c r="K384" s="3">
        <f t="shared" si="15"/>
        <v>441000</v>
      </c>
      <c r="L384" s="3">
        <f t="shared" si="17"/>
        <v>42102.040816326531</v>
      </c>
      <c r="M384" s="10">
        <v>100.83394188059199</v>
      </c>
      <c r="N384" s="10">
        <v>18.853632540548901</v>
      </c>
    </row>
    <row r="385" spans="1:14" hidden="1" x14ac:dyDescent="0.3">
      <c r="A385" s="5">
        <v>70</v>
      </c>
      <c r="B385" s="5" t="str">
        <f>_xlfn.XLOOKUP(D385,'[1]Viirs77-Sol'!$C$2:$C$694,'[1]Viirs77-Sol'!$A$2:$A$694)</f>
        <v>TH-55</v>
      </c>
      <c r="C385" s="5" t="str">
        <f>_xlfn.XLOOKUP(D385,cleanprovinces!$B:$B,cleanprovinces!$A:$A)</f>
        <v>NO</v>
      </c>
      <c r="D385" s="5" t="s">
        <v>55</v>
      </c>
      <c r="E385" s="6">
        <v>2021</v>
      </c>
      <c r="F385" s="7" cm="1">
        <f t="array" ref="F385">_xlfn.XLOOKUP(D385&amp;E385,'[1]Viirs77-Sol'!$C$2:$C$694&amp;'[1]Viirs77-Sol'!$D$2:$D$694,'[1]Viirs77-Sol'!$E$2:$E$694)</f>
        <v>10503.07764</v>
      </c>
      <c r="G385" s="7" cm="1">
        <f t="array" ref="G385">_xlfn.XLOOKUP(B385&amp;E385,'[2]Viirs77-Mean'!$A$2:$A$694&amp;'[2]Viirs77-Mean'!$D$2:$D$694,'[2]Viirs77-Mean'!$E$2:$E$694)</f>
        <v>0.173685963</v>
      </c>
      <c r="H385" s="9" cm="1">
        <f t="array" ref="H385">_xlfn.XLOOKUP(D385,cleanprovinces!$B$2:$B$78,_xlfn.XLOOKUP(panel!E385,cleanprovinces!$C$1:$AC$1,cleanprovinces!$C$2:$AC$78,"no",0,1))</f>
        <v>19020</v>
      </c>
      <c r="I385" s="4">
        <f t="shared" si="16"/>
        <v>19020000000</v>
      </c>
      <c r="J385" s="3" cm="1">
        <f t="array" ref="J385">_xlfn.XLOOKUP(D385,[3]Sheet1!$B$2:$B$78,_xlfn.XLOOKUP(E385,[3]Sheet1!$C$1:$AC$1,[3]Sheet1!$C$2:$AC$78))</f>
        <v>439</v>
      </c>
      <c r="K385" s="3">
        <f t="shared" si="15"/>
        <v>439000</v>
      </c>
      <c r="L385" s="3">
        <f t="shared" si="17"/>
        <v>43325.740318906603</v>
      </c>
      <c r="M385" s="10">
        <v>100.83394188059199</v>
      </c>
      <c r="N385" s="10">
        <v>18.853632540548901</v>
      </c>
    </row>
    <row r="386" spans="1:14" hidden="1" x14ac:dyDescent="0.3">
      <c r="A386" s="5">
        <v>1</v>
      </c>
      <c r="B386" s="5" t="str">
        <f>_xlfn.XLOOKUP(D386,'[1]Viirs77-Sol'!$C$2:$C$694,'[1]Viirs77-Sol'!$A$2:$A$694)</f>
        <v>TH-56</v>
      </c>
      <c r="C386" s="5" t="str">
        <f>_xlfn.XLOOKUP(D386,cleanprovinces!$B:$B,cleanprovinces!$A:$A)</f>
        <v>NO</v>
      </c>
      <c r="D386" s="5" t="s">
        <v>56</v>
      </c>
      <c r="E386" s="6">
        <v>2014</v>
      </c>
      <c r="F386" s="7" cm="1">
        <f t="array" ref="F386">_xlfn.XLOOKUP(D386&amp;E386,'[1]Viirs77-Sol'!$C$2:$C$694&amp;'[1]Viirs77-Sol'!$D$2:$D$694,'[1]Viirs77-Sol'!$E$2:$E$694)</f>
        <v>4814.7152059999999</v>
      </c>
      <c r="G386" s="7" cm="1">
        <f t="array" ref="G386">_xlfn.XLOOKUP(B386&amp;E386,'[2]Viirs77-Mean'!$A$2:$A$694&amp;'[2]Viirs77-Mean'!$D$2:$D$694,'[2]Viirs77-Mean'!$E$2:$E$694)</f>
        <v>0.16085407900000001</v>
      </c>
      <c r="H386" s="9" cm="1">
        <f t="array" ref="H386">_xlfn.XLOOKUP(D386,cleanprovinces!$B$2:$B$78,_xlfn.XLOOKUP(panel!E386,cleanprovinces!$C$1:$AC$1,cleanprovinces!$C$2:$AC$78,"no",0,1))</f>
        <v>16925</v>
      </c>
      <c r="I386" s="4">
        <f t="shared" si="16"/>
        <v>16925000000</v>
      </c>
      <c r="J386" s="3" cm="1">
        <f t="array" ref="J386">_xlfn.XLOOKUP(D386,[3]Sheet1!$B$2:$B$78,_xlfn.XLOOKUP(E386,[3]Sheet1!$C$1:$AC$1,[3]Sheet1!$C$2:$AC$78))</f>
        <v>404</v>
      </c>
      <c r="K386" s="3">
        <f t="shared" ref="K386:K449" si="18">J386*1000</f>
        <v>404000</v>
      </c>
      <c r="L386" s="3">
        <f t="shared" si="17"/>
        <v>41893.564356435643</v>
      </c>
      <c r="M386" s="10">
        <v>100.18443170115501</v>
      </c>
      <c r="N386" s="10">
        <v>19.230924577642799</v>
      </c>
    </row>
    <row r="387" spans="1:14" hidden="1" x14ac:dyDescent="0.3">
      <c r="A387" s="5">
        <v>1</v>
      </c>
      <c r="B387" s="5" t="str">
        <f>_xlfn.XLOOKUP(D387,'[1]Viirs77-Sol'!$C$2:$C$694,'[1]Viirs77-Sol'!$A$2:$A$694)</f>
        <v>TH-56</v>
      </c>
      <c r="C387" s="5" t="str">
        <f>_xlfn.XLOOKUP(D387,cleanprovinces!$B:$B,cleanprovinces!$A:$A)</f>
        <v>NO</v>
      </c>
      <c r="D387" s="5" t="s">
        <v>56</v>
      </c>
      <c r="E387" s="6">
        <v>2015</v>
      </c>
      <c r="F387" s="7" cm="1">
        <f t="array" ref="F387">_xlfn.XLOOKUP(D387&amp;E387,'[1]Viirs77-Sol'!$C$2:$C$694&amp;'[1]Viirs77-Sol'!$D$2:$D$694,'[1]Viirs77-Sol'!$E$2:$E$694)</f>
        <v>5710.9127339999995</v>
      </c>
      <c r="G387" s="7" cm="1">
        <f t="array" ref="G387">_xlfn.XLOOKUP(B387&amp;E387,'[2]Viirs77-Mean'!$A$2:$A$694&amp;'[2]Viirs77-Mean'!$D$2:$D$694,'[2]Viirs77-Mean'!$E$2:$E$694)</f>
        <v>0.19079500399999999</v>
      </c>
      <c r="H387" s="9" cm="1">
        <f t="array" ref="H387">_xlfn.XLOOKUP(D387,cleanprovinces!$B$2:$B$78,_xlfn.XLOOKUP(panel!E387,cleanprovinces!$C$1:$AC$1,cleanprovinces!$C$2:$AC$78,"no",0,1))</f>
        <v>17341</v>
      </c>
      <c r="I387" s="4">
        <f t="shared" ref="I387:I450" si="19">H387*1000000</f>
        <v>17341000000</v>
      </c>
      <c r="J387" s="3" cm="1">
        <f t="array" ref="J387">_xlfn.XLOOKUP(D387,[3]Sheet1!$B$2:$B$78,_xlfn.XLOOKUP(E387,[3]Sheet1!$C$1:$AC$1,[3]Sheet1!$C$2:$AC$78))</f>
        <v>401</v>
      </c>
      <c r="K387" s="3">
        <f t="shared" si="18"/>
        <v>401000</v>
      </c>
      <c r="L387" s="3">
        <f t="shared" ref="L387:L450" si="20">I387/K387</f>
        <v>43244.389027431418</v>
      </c>
      <c r="M387" s="10">
        <v>100.18443170115501</v>
      </c>
      <c r="N387" s="10">
        <v>19.230924577642799</v>
      </c>
    </row>
    <row r="388" spans="1:14" hidden="1" x14ac:dyDescent="0.3">
      <c r="A388" s="5">
        <v>1</v>
      </c>
      <c r="B388" s="5" t="str">
        <f>_xlfn.XLOOKUP(D388,'[1]Viirs77-Sol'!$C$2:$C$694,'[1]Viirs77-Sol'!$A$2:$A$694)</f>
        <v>TH-56</v>
      </c>
      <c r="C388" s="5" t="str">
        <f>_xlfn.XLOOKUP(D388,cleanprovinces!$B:$B,cleanprovinces!$A:$A)</f>
        <v>NO</v>
      </c>
      <c r="D388" s="5" t="s">
        <v>56</v>
      </c>
      <c r="E388" s="6">
        <v>2016</v>
      </c>
      <c r="F388" s="7" cm="1">
        <f t="array" ref="F388">_xlfn.XLOOKUP(D388&amp;E388,'[1]Viirs77-Sol'!$C$2:$C$694&amp;'[1]Viirs77-Sol'!$D$2:$D$694,'[1]Viirs77-Sol'!$E$2:$E$694)</f>
        <v>5228.273537</v>
      </c>
      <c r="G388" s="7" cm="1">
        <f t="array" ref="G388">_xlfn.XLOOKUP(B388&amp;E388,'[2]Viirs77-Mean'!$A$2:$A$694&amp;'[2]Viirs77-Mean'!$D$2:$D$694,'[2]Viirs77-Mean'!$E$2:$E$694)</f>
        <v>0.17467058599999999</v>
      </c>
      <c r="H388" s="9" cm="1">
        <f t="array" ref="H388">_xlfn.XLOOKUP(D388,cleanprovinces!$B$2:$B$78,_xlfn.XLOOKUP(panel!E388,cleanprovinces!$C$1:$AC$1,cleanprovinces!$C$2:$AC$78,"no",0,1))</f>
        <v>17409</v>
      </c>
      <c r="I388" s="4">
        <f t="shared" si="19"/>
        <v>17409000000</v>
      </c>
      <c r="J388" s="3" cm="1">
        <f t="array" ref="J388">_xlfn.XLOOKUP(D388,[3]Sheet1!$B$2:$B$78,_xlfn.XLOOKUP(E388,[3]Sheet1!$C$1:$AC$1,[3]Sheet1!$C$2:$AC$78))</f>
        <v>394</v>
      </c>
      <c r="K388" s="3">
        <f t="shared" si="18"/>
        <v>394000</v>
      </c>
      <c r="L388" s="3">
        <f t="shared" si="20"/>
        <v>44185.279187817257</v>
      </c>
      <c r="M388" s="10">
        <v>100.18443170115501</v>
      </c>
      <c r="N388" s="10">
        <v>19.230924577642799</v>
      </c>
    </row>
    <row r="389" spans="1:14" hidden="1" x14ac:dyDescent="0.3">
      <c r="A389" s="5">
        <v>1</v>
      </c>
      <c r="B389" s="5" t="str">
        <f>_xlfn.XLOOKUP(D389,'[1]Viirs77-Sol'!$C$2:$C$694,'[1]Viirs77-Sol'!$A$2:$A$694)</f>
        <v>TH-56</v>
      </c>
      <c r="C389" s="5" t="str">
        <f>_xlfn.XLOOKUP(D389,cleanprovinces!$B:$B,cleanprovinces!$A:$A)</f>
        <v>NO</v>
      </c>
      <c r="D389" s="5" t="s">
        <v>56</v>
      </c>
      <c r="E389" s="6">
        <v>2017</v>
      </c>
      <c r="F389" s="7" cm="1">
        <f t="array" ref="F389">_xlfn.XLOOKUP(D389&amp;E389,'[1]Viirs77-Sol'!$C$2:$C$694&amp;'[1]Viirs77-Sol'!$D$2:$D$694,'[1]Viirs77-Sol'!$E$2:$E$694)</f>
        <v>7454.8502520000002</v>
      </c>
      <c r="G389" s="7" cm="1">
        <f t="array" ref="G389">_xlfn.XLOOKUP(B389&amp;E389,'[2]Viirs77-Mean'!$A$2:$A$694&amp;'[2]Viirs77-Mean'!$D$2:$D$694,'[2]Viirs77-Mean'!$E$2:$E$694)</f>
        <v>0.249057944</v>
      </c>
      <c r="H389" s="9" cm="1">
        <f t="array" ref="H389">_xlfn.XLOOKUP(D389,cleanprovinces!$B$2:$B$78,_xlfn.XLOOKUP(panel!E389,cleanprovinces!$C$1:$AC$1,cleanprovinces!$C$2:$AC$78,"no",0,1))</f>
        <v>18297</v>
      </c>
      <c r="I389" s="4">
        <f t="shared" si="19"/>
        <v>18297000000</v>
      </c>
      <c r="J389" s="3" cm="1">
        <f t="array" ref="J389">_xlfn.XLOOKUP(D389,[3]Sheet1!$B$2:$B$78,_xlfn.XLOOKUP(E389,[3]Sheet1!$C$1:$AC$1,[3]Sheet1!$C$2:$AC$78))</f>
        <v>389</v>
      </c>
      <c r="K389" s="3">
        <f t="shared" si="18"/>
        <v>389000</v>
      </c>
      <c r="L389" s="3">
        <f t="shared" si="20"/>
        <v>47035.989717223652</v>
      </c>
      <c r="M389" s="10">
        <v>100.18443170115501</v>
      </c>
      <c r="N389" s="10">
        <v>19.230924577642799</v>
      </c>
    </row>
    <row r="390" spans="1:14" hidden="1" x14ac:dyDescent="0.3">
      <c r="A390" s="5">
        <v>1</v>
      </c>
      <c r="B390" s="5" t="str">
        <f>_xlfn.XLOOKUP(D390,'[1]Viirs77-Sol'!$C$2:$C$694,'[1]Viirs77-Sol'!$A$2:$A$694)</f>
        <v>TH-56</v>
      </c>
      <c r="C390" s="5" t="str">
        <f>_xlfn.XLOOKUP(D390,cleanprovinces!$B:$B,cleanprovinces!$A:$A)</f>
        <v>NO</v>
      </c>
      <c r="D390" s="5" t="s">
        <v>56</v>
      </c>
      <c r="E390" s="6">
        <v>2018</v>
      </c>
      <c r="F390" s="7" cm="1">
        <f t="array" ref="F390">_xlfn.XLOOKUP(D390&amp;E390,'[1]Viirs77-Sol'!$C$2:$C$694&amp;'[1]Viirs77-Sol'!$D$2:$D$694,'[1]Viirs77-Sol'!$E$2:$E$694)</f>
        <v>8014.9252230000002</v>
      </c>
      <c r="G390" s="7" cm="1">
        <f t="array" ref="G390">_xlfn.XLOOKUP(B390&amp;E390,'[2]Viirs77-Mean'!$A$2:$A$694&amp;'[2]Viirs77-Mean'!$D$2:$D$694,'[2]Viirs77-Mean'!$E$2:$E$694)</f>
        <v>0.26776940300000002</v>
      </c>
      <c r="H390" s="9" cm="1">
        <f t="array" ref="H390">_xlfn.XLOOKUP(D390,cleanprovinces!$B$2:$B$78,_xlfn.XLOOKUP(panel!E390,cleanprovinces!$C$1:$AC$1,cleanprovinces!$C$2:$AC$78,"no",0,1))</f>
        <v>18012</v>
      </c>
      <c r="I390" s="4">
        <f t="shared" si="19"/>
        <v>18012000000</v>
      </c>
      <c r="J390" s="3" cm="1">
        <f t="array" ref="J390">_xlfn.XLOOKUP(D390,[3]Sheet1!$B$2:$B$78,_xlfn.XLOOKUP(E390,[3]Sheet1!$C$1:$AC$1,[3]Sheet1!$C$2:$AC$78))</f>
        <v>383</v>
      </c>
      <c r="K390" s="3">
        <f t="shared" si="18"/>
        <v>383000</v>
      </c>
      <c r="L390" s="3">
        <f t="shared" si="20"/>
        <v>47028.720626631854</v>
      </c>
      <c r="M390" s="10">
        <v>100.18443170115501</v>
      </c>
      <c r="N390" s="10">
        <v>19.230924577642799</v>
      </c>
    </row>
    <row r="391" spans="1:14" hidden="1" x14ac:dyDescent="0.3">
      <c r="A391" s="5">
        <v>1</v>
      </c>
      <c r="B391" s="5" t="str">
        <f>_xlfn.XLOOKUP(D391,'[1]Viirs77-Sol'!$C$2:$C$694,'[1]Viirs77-Sol'!$A$2:$A$694)</f>
        <v>TH-56</v>
      </c>
      <c r="C391" s="5" t="str">
        <f>_xlfn.XLOOKUP(D391,cleanprovinces!$B:$B,cleanprovinces!$A:$A)</f>
        <v>NO</v>
      </c>
      <c r="D391" s="5" t="s">
        <v>56</v>
      </c>
      <c r="E391" s="6">
        <v>2019</v>
      </c>
      <c r="F391" s="7" cm="1">
        <f t="array" ref="F391">_xlfn.XLOOKUP(D391&amp;E391,'[1]Viirs77-Sol'!$C$2:$C$694&amp;'[1]Viirs77-Sol'!$D$2:$D$694,'[1]Viirs77-Sol'!$E$2:$E$694)</f>
        <v>9270.1343519999991</v>
      </c>
      <c r="G391" s="7" cm="1">
        <f t="array" ref="G391">_xlfn.XLOOKUP(B391&amp;E391,'[2]Viirs77-Mean'!$A$2:$A$694&amp;'[2]Viirs77-Mean'!$D$2:$D$694,'[2]Viirs77-Mean'!$E$2:$E$694)</f>
        <v>0.309704492</v>
      </c>
      <c r="H391" s="9" cm="1">
        <f t="array" ref="H391">_xlfn.XLOOKUP(D391,cleanprovinces!$B$2:$B$78,_xlfn.XLOOKUP(panel!E391,cleanprovinces!$C$1:$AC$1,cleanprovinces!$C$2:$AC$78,"no",0,1))</f>
        <v>17976</v>
      </c>
      <c r="I391" s="4">
        <f t="shared" si="19"/>
        <v>17976000000</v>
      </c>
      <c r="J391" s="3" cm="1">
        <f t="array" ref="J391">_xlfn.XLOOKUP(D391,[3]Sheet1!$B$2:$B$78,_xlfn.XLOOKUP(E391,[3]Sheet1!$C$1:$AC$1,[3]Sheet1!$C$2:$AC$78))</f>
        <v>378</v>
      </c>
      <c r="K391" s="3">
        <f t="shared" si="18"/>
        <v>378000</v>
      </c>
      <c r="L391" s="3">
        <f t="shared" si="20"/>
        <v>47555.555555555555</v>
      </c>
      <c r="M391" s="10">
        <v>100.18443170115501</v>
      </c>
      <c r="N391" s="10">
        <v>19.230924577642799</v>
      </c>
    </row>
    <row r="392" spans="1:14" hidden="1" x14ac:dyDescent="0.3">
      <c r="A392" s="5">
        <v>1</v>
      </c>
      <c r="B392" s="5" t="str">
        <f>_xlfn.XLOOKUP(D392,'[1]Viirs77-Sol'!$C$2:$C$694,'[1]Viirs77-Sol'!$A$2:$A$694)</f>
        <v>TH-56</v>
      </c>
      <c r="C392" s="5" t="str">
        <f>_xlfn.XLOOKUP(D392,cleanprovinces!$B:$B,cleanprovinces!$A:$A)</f>
        <v>NO</v>
      </c>
      <c r="D392" s="5" t="s">
        <v>56</v>
      </c>
      <c r="E392" s="6">
        <v>2020</v>
      </c>
      <c r="F392" s="7" cm="1">
        <f t="array" ref="F392">_xlfn.XLOOKUP(D392&amp;E392,'[1]Viirs77-Sol'!$C$2:$C$694&amp;'[1]Viirs77-Sol'!$D$2:$D$694,'[1]Viirs77-Sol'!$E$2:$E$694)</f>
        <v>10574.549279999999</v>
      </c>
      <c r="G392" s="7" cm="1">
        <f t="array" ref="G392">_xlfn.XLOOKUP(B392&amp;E392,'[2]Viirs77-Mean'!$A$2:$A$694&amp;'[2]Viirs77-Mean'!$D$2:$D$694,'[2]Viirs77-Mean'!$E$2:$E$694)</f>
        <v>0.35328348900000001</v>
      </c>
      <c r="H392" s="9" cm="1">
        <f t="array" ref="H392">_xlfn.XLOOKUP(D392,cleanprovinces!$B$2:$B$78,_xlfn.XLOOKUP(panel!E392,cleanprovinces!$C$1:$AC$1,cleanprovinces!$C$2:$AC$78,"no",0,1))</f>
        <v>17372</v>
      </c>
      <c r="I392" s="4">
        <f t="shared" si="19"/>
        <v>17372000000</v>
      </c>
      <c r="J392" s="3" cm="1">
        <f t="array" ref="J392">_xlfn.XLOOKUP(D392,[3]Sheet1!$B$2:$B$78,_xlfn.XLOOKUP(E392,[3]Sheet1!$C$1:$AC$1,[3]Sheet1!$C$2:$AC$78))</f>
        <v>372</v>
      </c>
      <c r="K392" s="3">
        <f t="shared" si="18"/>
        <v>372000</v>
      </c>
      <c r="L392" s="3">
        <f t="shared" si="20"/>
        <v>46698.924731182793</v>
      </c>
      <c r="M392" s="10">
        <v>100.18443170115501</v>
      </c>
      <c r="N392" s="10">
        <v>19.230924577642799</v>
      </c>
    </row>
    <row r="393" spans="1:14" hidden="1" x14ac:dyDescent="0.3">
      <c r="A393" s="5">
        <v>1</v>
      </c>
      <c r="B393" s="5" t="str">
        <f>_xlfn.XLOOKUP(D393,'[1]Viirs77-Sol'!$C$2:$C$694,'[1]Viirs77-Sol'!$A$2:$A$694)</f>
        <v>TH-56</v>
      </c>
      <c r="C393" s="5" t="str">
        <f>_xlfn.XLOOKUP(D393,cleanprovinces!$B:$B,cleanprovinces!$A:$A)</f>
        <v>NO</v>
      </c>
      <c r="D393" s="5" t="s">
        <v>56</v>
      </c>
      <c r="E393" s="6">
        <v>2021</v>
      </c>
      <c r="F393" s="7" cm="1">
        <f t="array" ref="F393">_xlfn.XLOOKUP(D393&amp;E393,'[1]Viirs77-Sol'!$C$2:$C$694&amp;'[1]Viirs77-Sol'!$D$2:$D$694,'[1]Viirs77-Sol'!$E$2:$E$694)</f>
        <v>11765.61391</v>
      </c>
      <c r="G393" s="7" cm="1">
        <f t="array" ref="G393">_xlfn.XLOOKUP(B393&amp;E393,'[2]Viirs77-Mean'!$A$2:$A$694&amp;'[2]Viirs77-Mean'!$D$2:$D$694,'[2]Viirs77-Mean'!$E$2:$E$694)</f>
        <v>0.39307558399999998</v>
      </c>
      <c r="H393" s="9" cm="1">
        <f t="array" ref="H393">_xlfn.XLOOKUP(D393,cleanprovinces!$B$2:$B$78,_xlfn.XLOOKUP(panel!E393,cleanprovinces!$C$1:$AC$1,cleanprovinces!$C$2:$AC$78,"no",0,1))</f>
        <v>17623</v>
      </c>
      <c r="I393" s="4">
        <f t="shared" si="19"/>
        <v>17623000000</v>
      </c>
      <c r="J393" s="3" cm="1">
        <f t="array" ref="J393">_xlfn.XLOOKUP(D393,[3]Sheet1!$B$2:$B$78,_xlfn.XLOOKUP(E393,[3]Sheet1!$C$1:$AC$1,[3]Sheet1!$C$2:$AC$78))</f>
        <v>367</v>
      </c>
      <c r="K393" s="3">
        <f t="shared" si="18"/>
        <v>367000</v>
      </c>
      <c r="L393" s="3">
        <f t="shared" si="20"/>
        <v>48019.073569482287</v>
      </c>
      <c r="M393" s="10">
        <v>100.18443170115501</v>
      </c>
      <c r="N393" s="10">
        <v>19.230924577642799</v>
      </c>
    </row>
    <row r="394" spans="1:14" hidden="1" x14ac:dyDescent="0.3">
      <c r="A394" s="5">
        <v>10</v>
      </c>
      <c r="B394" s="5" t="str">
        <f>_xlfn.XLOOKUP(D394,'[1]Viirs77-Sol'!$C$2:$C$694,'[1]Viirs77-Sol'!$A$2:$A$694)</f>
        <v>TH-67</v>
      </c>
      <c r="C394" s="5" t="str">
        <f>_xlfn.XLOOKUP(D394,cleanprovinces!$B:$B,cleanprovinces!$A:$A)</f>
        <v>NO</v>
      </c>
      <c r="D394" s="5" t="s">
        <v>64</v>
      </c>
      <c r="E394" s="6">
        <v>2014</v>
      </c>
      <c r="F394" s="7" cm="1">
        <f t="array" ref="F394">_xlfn.XLOOKUP(D394&amp;E394,'[1]Viirs77-Sol'!$C$2:$C$694&amp;'[1]Viirs77-Sol'!$D$2:$D$694,'[1]Viirs77-Sol'!$E$2:$E$694)</f>
        <v>12448.25693</v>
      </c>
      <c r="G394" s="7" cm="1">
        <f t="array" ref="G394">_xlfn.XLOOKUP(B394&amp;E394,'[2]Viirs77-Mean'!$A$2:$A$694&amp;'[2]Viirs77-Mean'!$D$2:$D$694,'[2]Viirs77-Mean'!$E$2:$E$694)</f>
        <v>0.20543214900000001</v>
      </c>
      <c r="H394" s="9" cm="1">
        <f t="array" ref="H394">_xlfn.XLOOKUP(D394,cleanprovinces!$B$2:$B$78,_xlfn.XLOOKUP(panel!E394,cleanprovinces!$C$1:$AC$1,cleanprovinces!$C$2:$AC$78,"no",0,1))</f>
        <v>42159</v>
      </c>
      <c r="I394" s="4">
        <f t="shared" si="19"/>
        <v>42159000000</v>
      </c>
      <c r="J394" s="3" cm="1">
        <f t="array" ref="J394">_xlfn.XLOOKUP(D394,[3]Sheet1!$B$2:$B$78,_xlfn.XLOOKUP(E394,[3]Sheet1!$C$1:$AC$1,[3]Sheet1!$C$2:$AC$78))</f>
        <v>935</v>
      </c>
      <c r="K394" s="3">
        <f t="shared" si="18"/>
        <v>935000</v>
      </c>
      <c r="L394" s="3">
        <f t="shared" si="20"/>
        <v>45089.839572192512</v>
      </c>
      <c r="M394" s="10">
        <v>101.146980454518</v>
      </c>
      <c r="N394" s="10">
        <v>16.269803312012801</v>
      </c>
    </row>
    <row r="395" spans="1:14" hidden="1" x14ac:dyDescent="0.3">
      <c r="A395" s="5">
        <v>10</v>
      </c>
      <c r="B395" s="5" t="str">
        <f>_xlfn.XLOOKUP(D395,'[1]Viirs77-Sol'!$C$2:$C$694,'[1]Viirs77-Sol'!$A$2:$A$694)</f>
        <v>TH-67</v>
      </c>
      <c r="C395" s="5" t="str">
        <f>_xlfn.XLOOKUP(D395,cleanprovinces!$B:$B,cleanprovinces!$A:$A)</f>
        <v>NO</v>
      </c>
      <c r="D395" s="5" t="s">
        <v>64</v>
      </c>
      <c r="E395" s="6">
        <v>2015</v>
      </c>
      <c r="F395" s="7" cm="1">
        <f t="array" ref="F395">_xlfn.XLOOKUP(D395&amp;E395,'[1]Viirs77-Sol'!$C$2:$C$694&amp;'[1]Viirs77-Sol'!$D$2:$D$694,'[1]Viirs77-Sol'!$E$2:$E$694)</f>
        <v>13620.45376</v>
      </c>
      <c r="G395" s="7" cm="1">
        <f t="array" ref="G395">_xlfn.XLOOKUP(B395&amp;E395,'[2]Viirs77-Mean'!$A$2:$A$694&amp;'[2]Viirs77-Mean'!$D$2:$D$694,'[2]Viirs77-Mean'!$E$2:$E$694)</f>
        <v>0.22477677800000001</v>
      </c>
      <c r="H395" s="9" cm="1">
        <f t="array" ref="H395">_xlfn.XLOOKUP(D395,cleanprovinces!$B$2:$B$78,_xlfn.XLOOKUP(panel!E395,cleanprovinces!$C$1:$AC$1,cleanprovinces!$C$2:$AC$78,"no",0,1))</f>
        <v>41724</v>
      </c>
      <c r="I395" s="4">
        <f t="shared" si="19"/>
        <v>41724000000</v>
      </c>
      <c r="J395" s="3" cm="1">
        <f t="array" ref="J395">_xlfn.XLOOKUP(D395,[3]Sheet1!$B$2:$B$78,_xlfn.XLOOKUP(E395,[3]Sheet1!$C$1:$AC$1,[3]Sheet1!$C$2:$AC$78))</f>
        <v>934</v>
      </c>
      <c r="K395" s="3">
        <f t="shared" si="18"/>
        <v>934000</v>
      </c>
      <c r="L395" s="3">
        <f t="shared" si="20"/>
        <v>44672.376873661669</v>
      </c>
      <c r="M395" s="10">
        <v>101.146980454518</v>
      </c>
      <c r="N395" s="10">
        <v>16.269803312012801</v>
      </c>
    </row>
    <row r="396" spans="1:14" hidden="1" x14ac:dyDescent="0.3">
      <c r="A396" s="5">
        <v>10</v>
      </c>
      <c r="B396" s="5" t="str">
        <f>_xlfn.XLOOKUP(D396,'[1]Viirs77-Sol'!$C$2:$C$694,'[1]Viirs77-Sol'!$A$2:$A$694)</f>
        <v>TH-67</v>
      </c>
      <c r="C396" s="5" t="str">
        <f>_xlfn.XLOOKUP(D396,cleanprovinces!$B:$B,cleanprovinces!$A:$A)</f>
        <v>NO</v>
      </c>
      <c r="D396" s="5" t="s">
        <v>64</v>
      </c>
      <c r="E396" s="6">
        <v>2016</v>
      </c>
      <c r="F396" s="7" cm="1">
        <f t="array" ref="F396">_xlfn.XLOOKUP(D396&amp;E396,'[1]Viirs77-Sol'!$C$2:$C$694&amp;'[1]Viirs77-Sol'!$D$2:$D$694,'[1]Viirs77-Sol'!$E$2:$E$694)</f>
        <v>13767.35542</v>
      </c>
      <c r="G396" s="7" cm="1">
        <f t="array" ref="G396">_xlfn.XLOOKUP(B396&amp;E396,'[2]Viirs77-Mean'!$A$2:$A$694&amp;'[2]Viirs77-Mean'!$D$2:$D$694,'[2]Viirs77-Mean'!$E$2:$E$694)</f>
        <v>0.227201079</v>
      </c>
      <c r="H396" s="9" cm="1">
        <f t="array" ref="H396">_xlfn.XLOOKUP(D396,cleanprovinces!$B$2:$B$78,_xlfn.XLOOKUP(panel!E396,cleanprovinces!$C$1:$AC$1,cleanprovinces!$C$2:$AC$78,"no",0,1))</f>
        <v>43162</v>
      </c>
      <c r="I396" s="4">
        <f t="shared" si="19"/>
        <v>43162000000</v>
      </c>
      <c r="J396" s="3" cm="1">
        <f t="array" ref="J396">_xlfn.XLOOKUP(D396,[3]Sheet1!$B$2:$B$78,_xlfn.XLOOKUP(E396,[3]Sheet1!$C$1:$AC$1,[3]Sheet1!$C$2:$AC$78))</f>
        <v>929</v>
      </c>
      <c r="K396" s="3">
        <f t="shared" si="18"/>
        <v>929000</v>
      </c>
      <c r="L396" s="3">
        <f t="shared" si="20"/>
        <v>46460.71044133477</v>
      </c>
      <c r="M396" s="10">
        <v>101.146980454518</v>
      </c>
      <c r="N396" s="10">
        <v>16.269803312012801</v>
      </c>
    </row>
    <row r="397" spans="1:14" hidden="1" x14ac:dyDescent="0.3">
      <c r="A397" s="5">
        <v>10</v>
      </c>
      <c r="B397" s="5" t="str">
        <f>_xlfn.XLOOKUP(D397,'[1]Viirs77-Sol'!$C$2:$C$694,'[1]Viirs77-Sol'!$A$2:$A$694)</f>
        <v>TH-67</v>
      </c>
      <c r="C397" s="5" t="str">
        <f>_xlfn.XLOOKUP(D397,cleanprovinces!$B:$B,cleanprovinces!$A:$A)</f>
        <v>NO</v>
      </c>
      <c r="D397" s="5" t="s">
        <v>64</v>
      </c>
      <c r="E397" s="6">
        <v>2017</v>
      </c>
      <c r="F397" s="7" cm="1">
        <f t="array" ref="F397">_xlfn.XLOOKUP(D397&amp;E397,'[1]Viirs77-Sol'!$C$2:$C$694&amp;'[1]Viirs77-Sol'!$D$2:$D$694,'[1]Viirs77-Sol'!$E$2:$E$694)</f>
        <v>17869.026669999999</v>
      </c>
      <c r="G397" s="7" cm="1">
        <f t="array" ref="G397">_xlfn.XLOOKUP(B397&amp;E397,'[2]Viirs77-Mean'!$A$2:$A$694&amp;'[2]Viirs77-Mean'!$D$2:$D$694,'[2]Viirs77-Mean'!$E$2:$E$694)</f>
        <v>0.29489048699999998</v>
      </c>
      <c r="H397" s="9" cm="1">
        <f t="array" ref="H397">_xlfn.XLOOKUP(D397,cleanprovinces!$B$2:$B$78,_xlfn.XLOOKUP(panel!E397,cleanprovinces!$C$1:$AC$1,cleanprovinces!$C$2:$AC$78,"no",0,1))</f>
        <v>41282</v>
      </c>
      <c r="I397" s="4">
        <f t="shared" si="19"/>
        <v>41282000000</v>
      </c>
      <c r="J397" s="3" cm="1">
        <f t="array" ref="J397">_xlfn.XLOOKUP(D397,[3]Sheet1!$B$2:$B$78,_xlfn.XLOOKUP(E397,[3]Sheet1!$C$1:$AC$1,[3]Sheet1!$C$2:$AC$78))</f>
        <v>925</v>
      </c>
      <c r="K397" s="3">
        <f t="shared" si="18"/>
        <v>925000</v>
      </c>
      <c r="L397" s="3">
        <f t="shared" si="20"/>
        <v>44629.189189189186</v>
      </c>
      <c r="M397" s="10">
        <v>101.146980454518</v>
      </c>
      <c r="N397" s="10">
        <v>16.269803312012801</v>
      </c>
    </row>
    <row r="398" spans="1:14" hidden="1" x14ac:dyDescent="0.3">
      <c r="A398" s="5">
        <v>10</v>
      </c>
      <c r="B398" s="5" t="str">
        <f>_xlfn.XLOOKUP(D398,'[1]Viirs77-Sol'!$C$2:$C$694,'[1]Viirs77-Sol'!$A$2:$A$694)</f>
        <v>TH-67</v>
      </c>
      <c r="C398" s="5" t="str">
        <f>_xlfn.XLOOKUP(D398,cleanprovinces!$B:$B,cleanprovinces!$A:$A)</f>
        <v>NO</v>
      </c>
      <c r="D398" s="5" t="s">
        <v>64</v>
      </c>
      <c r="E398" s="6">
        <v>2018</v>
      </c>
      <c r="F398" s="7" cm="1">
        <f t="array" ref="F398">_xlfn.XLOOKUP(D398&amp;E398,'[1]Viirs77-Sol'!$C$2:$C$694&amp;'[1]Viirs77-Sol'!$D$2:$D$694,'[1]Viirs77-Sol'!$E$2:$E$694)</f>
        <v>18982.22437</v>
      </c>
      <c r="G398" s="7" cm="1">
        <f t="array" ref="G398">_xlfn.XLOOKUP(B398&amp;E398,'[2]Viirs77-Mean'!$A$2:$A$694&amp;'[2]Viirs77-Mean'!$D$2:$D$694,'[2]Viirs77-Mean'!$E$2:$E$694)</f>
        <v>0.31326145999999999</v>
      </c>
      <c r="H398" s="9" cm="1">
        <f t="array" ref="H398">_xlfn.XLOOKUP(D398,cleanprovinces!$B$2:$B$78,_xlfn.XLOOKUP(panel!E398,cleanprovinces!$C$1:$AC$1,cleanprovinces!$C$2:$AC$78,"no",0,1))</f>
        <v>43217</v>
      </c>
      <c r="I398" s="4">
        <f t="shared" si="19"/>
        <v>43217000000</v>
      </c>
      <c r="J398" s="3" cm="1">
        <f t="array" ref="J398">_xlfn.XLOOKUP(D398,[3]Sheet1!$B$2:$B$78,_xlfn.XLOOKUP(E398,[3]Sheet1!$C$1:$AC$1,[3]Sheet1!$C$2:$AC$78))</f>
        <v>921</v>
      </c>
      <c r="K398" s="3">
        <f t="shared" si="18"/>
        <v>921000</v>
      </c>
      <c r="L398" s="3">
        <f t="shared" si="20"/>
        <v>46923.99565689468</v>
      </c>
      <c r="M398" s="10">
        <v>101.146980454518</v>
      </c>
      <c r="N398" s="10">
        <v>16.269803312012801</v>
      </c>
    </row>
    <row r="399" spans="1:14" hidden="1" x14ac:dyDescent="0.3">
      <c r="A399" s="5">
        <v>10</v>
      </c>
      <c r="B399" s="5" t="str">
        <f>_xlfn.XLOOKUP(D399,'[1]Viirs77-Sol'!$C$2:$C$694,'[1]Viirs77-Sol'!$A$2:$A$694)</f>
        <v>TH-67</v>
      </c>
      <c r="C399" s="5" t="str">
        <f>_xlfn.XLOOKUP(D399,cleanprovinces!$B:$B,cleanprovinces!$A:$A)</f>
        <v>NO</v>
      </c>
      <c r="D399" s="5" t="s">
        <v>64</v>
      </c>
      <c r="E399" s="6">
        <v>2019</v>
      </c>
      <c r="F399" s="7" cm="1">
        <f t="array" ref="F399">_xlfn.XLOOKUP(D399&amp;E399,'[1]Viirs77-Sol'!$C$2:$C$694&amp;'[1]Viirs77-Sol'!$D$2:$D$694,'[1]Viirs77-Sol'!$E$2:$E$694)</f>
        <v>20525.183509999999</v>
      </c>
      <c r="G399" s="7" cm="1">
        <f t="array" ref="G399">_xlfn.XLOOKUP(B399&amp;E399,'[2]Viirs77-Mean'!$A$2:$A$694&amp;'[2]Viirs77-Mean'!$D$2:$D$694,'[2]Viirs77-Mean'!$E$2:$E$694)</f>
        <v>0.338724737</v>
      </c>
      <c r="H399" s="9" cm="1">
        <f t="array" ref="H399">_xlfn.XLOOKUP(D399,cleanprovinces!$B$2:$B$78,_xlfn.XLOOKUP(panel!E399,cleanprovinces!$C$1:$AC$1,cleanprovinces!$C$2:$AC$78,"no",0,1))</f>
        <v>43706</v>
      </c>
      <c r="I399" s="4">
        <f t="shared" si="19"/>
        <v>43706000000</v>
      </c>
      <c r="J399" s="3" cm="1">
        <f t="array" ref="J399">_xlfn.XLOOKUP(D399,[3]Sheet1!$B$2:$B$78,_xlfn.XLOOKUP(E399,[3]Sheet1!$C$1:$AC$1,[3]Sheet1!$C$2:$AC$78))</f>
        <v>916</v>
      </c>
      <c r="K399" s="3">
        <f t="shared" si="18"/>
        <v>916000</v>
      </c>
      <c r="L399" s="3">
        <f t="shared" si="20"/>
        <v>47713.973799126637</v>
      </c>
      <c r="M399" s="10">
        <v>101.146980454518</v>
      </c>
      <c r="N399" s="10">
        <v>16.269803312012801</v>
      </c>
    </row>
    <row r="400" spans="1:14" hidden="1" x14ac:dyDescent="0.3">
      <c r="A400" s="5">
        <v>10</v>
      </c>
      <c r="B400" s="5" t="str">
        <f>_xlfn.XLOOKUP(D400,'[1]Viirs77-Sol'!$C$2:$C$694,'[1]Viirs77-Sol'!$A$2:$A$694)</f>
        <v>TH-67</v>
      </c>
      <c r="C400" s="5" t="str">
        <f>_xlfn.XLOOKUP(D400,cleanprovinces!$B:$B,cleanprovinces!$A:$A)</f>
        <v>NO</v>
      </c>
      <c r="D400" s="5" t="s">
        <v>64</v>
      </c>
      <c r="E400" s="6">
        <v>2020</v>
      </c>
      <c r="F400" s="7" cm="1">
        <f t="array" ref="F400">_xlfn.XLOOKUP(D400&amp;E400,'[1]Viirs77-Sol'!$C$2:$C$694&amp;'[1]Viirs77-Sol'!$D$2:$D$694,'[1]Viirs77-Sol'!$E$2:$E$694)</f>
        <v>21587.386859999999</v>
      </c>
      <c r="G400" s="7" cm="1">
        <f t="array" ref="G400">_xlfn.XLOOKUP(B400&amp;E400,'[2]Viirs77-Mean'!$A$2:$A$694&amp;'[2]Viirs77-Mean'!$D$2:$D$694,'[2]Viirs77-Mean'!$E$2:$E$694)</f>
        <v>0.35625415599999999</v>
      </c>
      <c r="H400" s="9" cm="1">
        <f t="array" ref="H400">_xlfn.XLOOKUP(D400,cleanprovinces!$B$2:$B$78,_xlfn.XLOOKUP(panel!E400,cleanprovinces!$C$1:$AC$1,cleanprovinces!$C$2:$AC$78,"no",0,1))</f>
        <v>41400</v>
      </c>
      <c r="I400" s="4">
        <f t="shared" si="19"/>
        <v>41400000000</v>
      </c>
      <c r="J400" s="3" cm="1">
        <f t="array" ref="J400">_xlfn.XLOOKUP(D400,[3]Sheet1!$B$2:$B$78,_xlfn.XLOOKUP(E400,[3]Sheet1!$C$1:$AC$1,[3]Sheet1!$C$2:$AC$78))</f>
        <v>911</v>
      </c>
      <c r="K400" s="3">
        <f t="shared" si="18"/>
        <v>911000</v>
      </c>
      <c r="L400" s="3">
        <f t="shared" si="20"/>
        <v>45444.566410537867</v>
      </c>
      <c r="M400" s="10">
        <v>101.146980454518</v>
      </c>
      <c r="N400" s="10">
        <v>16.269803312012801</v>
      </c>
    </row>
    <row r="401" spans="1:14" hidden="1" x14ac:dyDescent="0.3">
      <c r="A401" s="5">
        <v>10</v>
      </c>
      <c r="B401" s="5" t="str">
        <f>_xlfn.XLOOKUP(D401,'[1]Viirs77-Sol'!$C$2:$C$694,'[1]Viirs77-Sol'!$A$2:$A$694)</f>
        <v>TH-67</v>
      </c>
      <c r="C401" s="5" t="str">
        <f>_xlfn.XLOOKUP(D401,cleanprovinces!$B:$B,cleanprovinces!$A:$A)</f>
        <v>NO</v>
      </c>
      <c r="D401" s="5" t="s">
        <v>64</v>
      </c>
      <c r="E401" s="6">
        <v>2021</v>
      </c>
      <c r="F401" s="7" cm="1">
        <f t="array" ref="F401">_xlfn.XLOOKUP(D401&amp;E401,'[1]Viirs77-Sol'!$C$2:$C$694&amp;'[1]Viirs77-Sol'!$D$2:$D$694,'[1]Viirs77-Sol'!$E$2:$E$694)</f>
        <v>25845.158660000001</v>
      </c>
      <c r="G401" s="7" cm="1">
        <f t="array" ref="G401">_xlfn.XLOOKUP(B401&amp;E401,'[2]Viirs77-Mean'!$A$2:$A$694&amp;'[2]Viirs77-Mean'!$D$2:$D$694,'[2]Viirs77-Mean'!$E$2:$E$694)</f>
        <v>0.42651967400000002</v>
      </c>
      <c r="H401" s="9" cm="1">
        <f t="array" ref="H401">_xlfn.XLOOKUP(D401,cleanprovinces!$B$2:$B$78,_xlfn.XLOOKUP(panel!E401,cleanprovinces!$C$1:$AC$1,cleanprovinces!$C$2:$AC$78,"no",0,1))</f>
        <v>41174</v>
      </c>
      <c r="I401" s="4">
        <f t="shared" si="19"/>
        <v>41174000000</v>
      </c>
      <c r="J401" s="3" cm="1">
        <f t="array" ref="J401">_xlfn.XLOOKUP(D401,[3]Sheet1!$B$2:$B$78,_xlfn.XLOOKUP(E401,[3]Sheet1!$C$1:$AC$1,[3]Sheet1!$C$2:$AC$78))</f>
        <v>906</v>
      </c>
      <c r="K401" s="3">
        <f t="shared" si="18"/>
        <v>906000</v>
      </c>
      <c r="L401" s="3">
        <f t="shared" si="20"/>
        <v>45445.916114790285</v>
      </c>
      <c r="M401" s="10">
        <v>101.146980454518</v>
      </c>
      <c r="N401" s="10">
        <v>16.269803312012801</v>
      </c>
    </row>
    <row r="402" spans="1:14" hidden="1" x14ac:dyDescent="0.3">
      <c r="A402" s="5">
        <v>54</v>
      </c>
      <c r="B402" s="5" t="str">
        <f>_xlfn.XLOOKUP(D402,'[1]Viirs77-Sol'!$C$2:$C$694,'[1]Viirs77-Sol'!$A$2:$A$694)</f>
        <v>TH-66</v>
      </c>
      <c r="C402" s="5" t="str">
        <f>_xlfn.XLOOKUP(D402,cleanprovinces!$B:$B,cleanprovinces!$A:$A)</f>
        <v>NO</v>
      </c>
      <c r="D402" s="5" t="s">
        <v>63</v>
      </c>
      <c r="E402" s="6">
        <v>2014</v>
      </c>
      <c r="F402" s="7" cm="1">
        <f t="array" ref="F402">_xlfn.XLOOKUP(D402&amp;E402,'[1]Viirs77-Sol'!$C$2:$C$694&amp;'[1]Viirs77-Sol'!$D$2:$D$694,'[1]Viirs77-Sol'!$E$2:$E$694)</f>
        <v>6672.5193230000004</v>
      </c>
      <c r="G402" s="7" cm="1">
        <f t="array" ref="G402">_xlfn.XLOOKUP(B402&amp;E402,'[2]Viirs77-Mean'!$A$2:$A$694&amp;'[2]Viirs77-Mean'!$D$2:$D$694,'[2]Viirs77-Mean'!$E$2:$E$694)</f>
        <v>0.32254325299999997</v>
      </c>
      <c r="H402" s="9" cm="1">
        <f t="array" ref="H402">_xlfn.XLOOKUP(D402,cleanprovinces!$B$2:$B$78,_xlfn.XLOOKUP(panel!E402,cleanprovinces!$C$1:$AC$1,cleanprovinces!$C$2:$AC$78,"no",0,1))</f>
        <v>23119</v>
      </c>
      <c r="I402" s="4">
        <f t="shared" si="19"/>
        <v>23119000000</v>
      </c>
      <c r="J402" s="3" cm="1">
        <f t="array" ref="J402">_xlfn.XLOOKUP(D402,[3]Sheet1!$B$2:$B$78,_xlfn.XLOOKUP(E402,[3]Sheet1!$C$1:$AC$1,[3]Sheet1!$C$2:$AC$78))</f>
        <v>535</v>
      </c>
      <c r="K402" s="3">
        <f t="shared" si="18"/>
        <v>535000</v>
      </c>
      <c r="L402" s="3">
        <f t="shared" si="20"/>
        <v>43213.084112149532</v>
      </c>
      <c r="M402" s="10">
        <v>100.356936730565</v>
      </c>
      <c r="N402" s="10">
        <v>16.237024170656799</v>
      </c>
    </row>
    <row r="403" spans="1:14" hidden="1" x14ac:dyDescent="0.3">
      <c r="A403" s="5">
        <v>54</v>
      </c>
      <c r="B403" s="5" t="str">
        <f>_xlfn.XLOOKUP(D403,'[1]Viirs77-Sol'!$C$2:$C$694,'[1]Viirs77-Sol'!$A$2:$A$694)</f>
        <v>TH-66</v>
      </c>
      <c r="C403" s="5" t="str">
        <f>_xlfn.XLOOKUP(D403,cleanprovinces!$B:$B,cleanprovinces!$A:$A)</f>
        <v>NO</v>
      </c>
      <c r="D403" s="5" t="s">
        <v>63</v>
      </c>
      <c r="E403" s="6">
        <v>2015</v>
      </c>
      <c r="F403" s="7" cm="1">
        <f t="array" ref="F403">_xlfn.XLOOKUP(D403&amp;E403,'[1]Viirs77-Sol'!$C$2:$C$694&amp;'[1]Viirs77-Sol'!$D$2:$D$694,'[1]Viirs77-Sol'!$E$2:$E$694)</f>
        <v>8185.2963529999997</v>
      </c>
      <c r="G403" s="7" cm="1">
        <f t="array" ref="G403">_xlfn.XLOOKUP(B403&amp;E403,'[2]Viirs77-Mean'!$A$2:$A$694&amp;'[2]Viirs77-Mean'!$D$2:$D$694,'[2]Viirs77-Mean'!$E$2:$E$694)</f>
        <v>0.39566945999999997</v>
      </c>
      <c r="H403" s="9" cm="1">
        <f t="array" ref="H403">_xlfn.XLOOKUP(D403,cleanprovinces!$B$2:$B$78,_xlfn.XLOOKUP(panel!E403,cleanprovinces!$C$1:$AC$1,cleanprovinces!$C$2:$AC$78,"no",0,1))</f>
        <v>20949</v>
      </c>
      <c r="I403" s="4">
        <f t="shared" si="19"/>
        <v>20949000000</v>
      </c>
      <c r="J403" s="3" cm="1">
        <f t="array" ref="J403">_xlfn.XLOOKUP(D403,[3]Sheet1!$B$2:$B$78,_xlfn.XLOOKUP(E403,[3]Sheet1!$C$1:$AC$1,[3]Sheet1!$C$2:$AC$78))</f>
        <v>532</v>
      </c>
      <c r="K403" s="3">
        <f t="shared" si="18"/>
        <v>532000</v>
      </c>
      <c r="L403" s="3">
        <f t="shared" si="20"/>
        <v>39377.819548872183</v>
      </c>
      <c r="M403" s="10">
        <v>100.356936730565</v>
      </c>
      <c r="N403" s="10">
        <v>16.237024170656799</v>
      </c>
    </row>
    <row r="404" spans="1:14" hidden="1" x14ac:dyDescent="0.3">
      <c r="A404" s="5">
        <v>54</v>
      </c>
      <c r="B404" s="5" t="str">
        <f>_xlfn.XLOOKUP(D404,'[1]Viirs77-Sol'!$C$2:$C$694,'[1]Viirs77-Sol'!$A$2:$A$694)</f>
        <v>TH-66</v>
      </c>
      <c r="C404" s="5" t="str">
        <f>_xlfn.XLOOKUP(D404,cleanprovinces!$B:$B,cleanprovinces!$A:$A)</f>
        <v>NO</v>
      </c>
      <c r="D404" s="5" t="s">
        <v>63</v>
      </c>
      <c r="E404" s="6">
        <v>2016</v>
      </c>
      <c r="F404" s="7" cm="1">
        <f t="array" ref="F404">_xlfn.XLOOKUP(D404&amp;E404,'[1]Viirs77-Sol'!$C$2:$C$694&amp;'[1]Viirs77-Sol'!$D$2:$D$694,'[1]Viirs77-Sol'!$E$2:$E$694)</f>
        <v>7921.4737569999998</v>
      </c>
      <c r="G404" s="7" cm="1">
        <f t="array" ref="G404">_xlfn.XLOOKUP(B404&amp;E404,'[2]Viirs77-Mean'!$A$2:$A$694&amp;'[2]Viirs77-Mean'!$D$2:$D$694,'[2]Viirs77-Mean'!$E$2:$E$694)</f>
        <v>0.38291652599999998</v>
      </c>
      <c r="H404" s="9" cm="1">
        <f t="array" ref="H404">_xlfn.XLOOKUP(D404,cleanprovinces!$B$2:$B$78,_xlfn.XLOOKUP(panel!E404,cleanprovinces!$C$1:$AC$1,cleanprovinces!$C$2:$AC$78,"no",0,1))</f>
        <v>20360</v>
      </c>
      <c r="I404" s="4">
        <f t="shared" si="19"/>
        <v>20360000000</v>
      </c>
      <c r="J404" s="3" cm="1">
        <f t="array" ref="J404">_xlfn.XLOOKUP(D404,[3]Sheet1!$B$2:$B$78,_xlfn.XLOOKUP(E404,[3]Sheet1!$C$1:$AC$1,[3]Sheet1!$C$2:$AC$78))</f>
        <v>527</v>
      </c>
      <c r="K404" s="3">
        <f t="shared" si="18"/>
        <v>527000</v>
      </c>
      <c r="L404" s="3">
        <f t="shared" si="20"/>
        <v>38633.776091081592</v>
      </c>
      <c r="M404" s="10">
        <v>100.356936730565</v>
      </c>
      <c r="N404" s="10">
        <v>16.237024170656799</v>
      </c>
    </row>
    <row r="405" spans="1:14" hidden="1" x14ac:dyDescent="0.3">
      <c r="A405" s="5">
        <v>54</v>
      </c>
      <c r="B405" s="5" t="str">
        <f>_xlfn.XLOOKUP(D405,'[1]Viirs77-Sol'!$C$2:$C$694,'[1]Viirs77-Sol'!$A$2:$A$694)</f>
        <v>TH-66</v>
      </c>
      <c r="C405" s="5" t="str">
        <f>_xlfn.XLOOKUP(D405,cleanprovinces!$B:$B,cleanprovinces!$A:$A)</f>
        <v>NO</v>
      </c>
      <c r="D405" s="5" t="s">
        <v>63</v>
      </c>
      <c r="E405" s="6">
        <v>2017</v>
      </c>
      <c r="F405" s="7" cm="1">
        <f t="array" ref="F405">_xlfn.XLOOKUP(D405&amp;E405,'[1]Viirs77-Sol'!$C$2:$C$694&amp;'[1]Viirs77-Sol'!$D$2:$D$694,'[1]Viirs77-Sol'!$E$2:$E$694)</f>
        <v>10483.10022</v>
      </c>
      <c r="G405" s="7" cm="1">
        <f t="array" ref="G405">_xlfn.XLOOKUP(B405&amp;E405,'[2]Viirs77-Mean'!$A$2:$A$694&amp;'[2]Viirs77-Mean'!$D$2:$D$694,'[2]Viirs77-Mean'!$E$2:$E$694)</f>
        <v>0.50674311900000002</v>
      </c>
      <c r="H405" s="9" cm="1">
        <f t="array" ref="H405">_xlfn.XLOOKUP(D405,cleanprovinces!$B$2:$B$78,_xlfn.XLOOKUP(panel!E405,cleanprovinces!$C$1:$AC$1,cleanprovinces!$C$2:$AC$78,"no",0,1))</f>
        <v>21556</v>
      </c>
      <c r="I405" s="4">
        <f t="shared" si="19"/>
        <v>21556000000</v>
      </c>
      <c r="J405" s="3" cm="1">
        <f t="array" ref="J405">_xlfn.XLOOKUP(D405,[3]Sheet1!$B$2:$B$78,_xlfn.XLOOKUP(E405,[3]Sheet1!$C$1:$AC$1,[3]Sheet1!$C$2:$AC$78))</f>
        <v>522</v>
      </c>
      <c r="K405" s="3">
        <f t="shared" si="18"/>
        <v>522000</v>
      </c>
      <c r="L405" s="3">
        <f t="shared" si="20"/>
        <v>41295.019157088122</v>
      </c>
      <c r="M405" s="10">
        <v>100.356936730565</v>
      </c>
      <c r="N405" s="10">
        <v>16.237024170656799</v>
      </c>
    </row>
    <row r="406" spans="1:14" hidden="1" x14ac:dyDescent="0.3">
      <c r="A406" s="5">
        <v>54</v>
      </c>
      <c r="B406" s="5" t="str">
        <f>_xlfn.XLOOKUP(D406,'[1]Viirs77-Sol'!$C$2:$C$694,'[1]Viirs77-Sol'!$A$2:$A$694)</f>
        <v>TH-66</v>
      </c>
      <c r="C406" s="5" t="str">
        <f>_xlfn.XLOOKUP(D406,cleanprovinces!$B:$B,cleanprovinces!$A:$A)</f>
        <v>NO</v>
      </c>
      <c r="D406" s="8" t="s">
        <v>63</v>
      </c>
      <c r="E406" s="6">
        <v>2018</v>
      </c>
      <c r="F406" s="7" cm="1">
        <f t="array" ref="F406">_xlfn.XLOOKUP(D406&amp;E406,'[1]Viirs77-Sol'!$C$2:$C$694&amp;'[1]Viirs77-Sol'!$D$2:$D$694,'[1]Viirs77-Sol'!$E$2:$E$694)</f>
        <v>11087.349609999999</v>
      </c>
      <c r="G406" s="7" cm="1">
        <f t="array" ref="G406">_xlfn.XLOOKUP(B406&amp;E406,'[2]Viirs77-Mean'!$A$2:$A$694&amp;'[2]Viirs77-Mean'!$D$2:$D$694,'[2]Viirs77-Mean'!$E$2:$E$694)</f>
        <v>0.53595196099999998</v>
      </c>
      <c r="H406" s="9" cm="1">
        <f t="array" ref="H406">_xlfn.XLOOKUP(D406,cleanprovinces!$B$2:$B$78,_xlfn.XLOOKUP(panel!E406,cleanprovinces!$C$1:$AC$1,cleanprovinces!$C$2:$AC$78,"no",0,1))</f>
        <v>23747</v>
      </c>
      <c r="I406" s="4">
        <f t="shared" si="19"/>
        <v>23747000000</v>
      </c>
      <c r="J406" s="3" cm="1">
        <f t="array" ref="J406">_xlfn.XLOOKUP(D406,[3]Sheet1!$B$2:$B$78,_xlfn.XLOOKUP(E406,[3]Sheet1!$C$1:$AC$1,[3]Sheet1!$C$2:$AC$78))</f>
        <v>518</v>
      </c>
      <c r="K406" s="3">
        <f t="shared" si="18"/>
        <v>518000</v>
      </c>
      <c r="L406" s="3">
        <f t="shared" si="20"/>
        <v>45843.629343629342</v>
      </c>
      <c r="M406" s="10">
        <v>100.356936730565</v>
      </c>
      <c r="N406" s="10">
        <v>16.237024170656799</v>
      </c>
    </row>
    <row r="407" spans="1:14" hidden="1" x14ac:dyDescent="0.3">
      <c r="A407" s="5">
        <v>54</v>
      </c>
      <c r="B407" s="5" t="str">
        <f>_xlfn.XLOOKUP(D407,'[1]Viirs77-Sol'!$C$2:$C$694,'[1]Viirs77-Sol'!$A$2:$A$694)</f>
        <v>TH-66</v>
      </c>
      <c r="C407" s="5" t="str">
        <f>_xlfn.XLOOKUP(D407,cleanprovinces!$B:$B,cleanprovinces!$A:$A)</f>
        <v>NO</v>
      </c>
      <c r="D407" s="5" t="s">
        <v>63</v>
      </c>
      <c r="E407" s="6">
        <v>2019</v>
      </c>
      <c r="F407" s="7" cm="1">
        <f t="array" ref="F407">_xlfn.XLOOKUP(D407&amp;E407,'[1]Viirs77-Sol'!$C$2:$C$694&amp;'[1]Viirs77-Sol'!$D$2:$D$694,'[1]Viirs77-Sol'!$E$2:$E$694)</f>
        <v>11911.925509999999</v>
      </c>
      <c r="G407" s="7" cm="1">
        <f t="array" ref="G407">_xlfn.XLOOKUP(B407&amp;E407,'[2]Viirs77-Mean'!$A$2:$A$694&amp;'[2]Viirs77-Mean'!$D$2:$D$694,'[2]Viirs77-Mean'!$E$2:$E$694)</f>
        <v>0.57581117699999995</v>
      </c>
      <c r="H407" s="9" cm="1">
        <f t="array" ref="H407">_xlfn.XLOOKUP(D407,cleanprovinces!$B$2:$B$78,_xlfn.XLOOKUP(panel!E407,cleanprovinces!$C$1:$AC$1,cleanprovinces!$C$2:$AC$78,"no",0,1))</f>
        <v>23079</v>
      </c>
      <c r="I407" s="4">
        <f t="shared" si="19"/>
        <v>23079000000</v>
      </c>
      <c r="J407" s="3" cm="1">
        <f t="array" ref="J407">_xlfn.XLOOKUP(D407,[3]Sheet1!$B$2:$B$78,_xlfn.XLOOKUP(E407,[3]Sheet1!$C$1:$AC$1,[3]Sheet1!$C$2:$AC$78))</f>
        <v>515</v>
      </c>
      <c r="K407" s="3">
        <f t="shared" si="18"/>
        <v>515000</v>
      </c>
      <c r="L407" s="3">
        <f t="shared" si="20"/>
        <v>44813.592233009709</v>
      </c>
      <c r="M407" s="10">
        <v>100.356936730565</v>
      </c>
      <c r="N407" s="10">
        <v>16.237024170656799</v>
      </c>
    </row>
    <row r="408" spans="1:14" hidden="1" x14ac:dyDescent="0.3">
      <c r="A408" s="5">
        <v>54</v>
      </c>
      <c r="B408" s="5" t="str">
        <f>_xlfn.XLOOKUP(D408,'[1]Viirs77-Sol'!$C$2:$C$694,'[1]Viirs77-Sol'!$A$2:$A$694)</f>
        <v>TH-66</v>
      </c>
      <c r="C408" s="5" t="str">
        <f>_xlfn.XLOOKUP(D408,cleanprovinces!$B:$B,cleanprovinces!$A:$A)</f>
        <v>NO</v>
      </c>
      <c r="D408" s="5" t="s">
        <v>63</v>
      </c>
      <c r="E408" s="6">
        <v>2020</v>
      </c>
      <c r="F408" s="7" cm="1">
        <f t="array" ref="F408">_xlfn.XLOOKUP(D408&amp;E408,'[1]Viirs77-Sol'!$C$2:$C$694&amp;'[1]Viirs77-Sol'!$D$2:$D$694,'[1]Viirs77-Sol'!$E$2:$E$694)</f>
        <v>13217.363590000001</v>
      </c>
      <c r="G408" s="7" cm="1">
        <f t="array" ref="G408">_xlfn.XLOOKUP(B408&amp;E408,'[2]Viirs77-Mean'!$A$2:$A$694&amp;'[2]Viirs77-Mean'!$D$2:$D$694,'[2]Viirs77-Mean'!$E$2:$E$694)</f>
        <v>0.638914816</v>
      </c>
      <c r="H408" s="9" cm="1">
        <f t="array" ref="H408">_xlfn.XLOOKUP(D408,cleanprovinces!$B$2:$B$78,_xlfn.XLOOKUP(panel!E408,cleanprovinces!$C$1:$AC$1,cleanprovinces!$C$2:$AC$78,"no",0,1))</f>
        <v>22032</v>
      </c>
      <c r="I408" s="4">
        <f t="shared" si="19"/>
        <v>22032000000</v>
      </c>
      <c r="J408" s="3" cm="1">
        <f t="array" ref="J408">_xlfn.XLOOKUP(D408,[3]Sheet1!$B$2:$B$78,_xlfn.XLOOKUP(E408,[3]Sheet1!$C$1:$AC$1,[3]Sheet1!$C$2:$AC$78))</f>
        <v>511</v>
      </c>
      <c r="K408" s="3">
        <f t="shared" si="18"/>
        <v>511000</v>
      </c>
      <c r="L408" s="3">
        <f t="shared" si="20"/>
        <v>43115.459882583171</v>
      </c>
      <c r="M408" s="10">
        <v>100.356936730565</v>
      </c>
      <c r="N408" s="10">
        <v>16.237024170656799</v>
      </c>
    </row>
    <row r="409" spans="1:14" hidden="1" x14ac:dyDescent="0.3">
      <c r="A409" s="5">
        <v>54</v>
      </c>
      <c r="B409" s="5" t="str">
        <f>_xlfn.XLOOKUP(D409,'[1]Viirs77-Sol'!$C$2:$C$694,'[1]Viirs77-Sol'!$A$2:$A$694)</f>
        <v>TH-66</v>
      </c>
      <c r="C409" s="5" t="str">
        <f>_xlfn.XLOOKUP(D409,cleanprovinces!$B:$B,cleanprovinces!$A:$A)</f>
        <v>NO</v>
      </c>
      <c r="D409" s="5" t="s">
        <v>63</v>
      </c>
      <c r="E409" s="6">
        <v>2021</v>
      </c>
      <c r="F409" s="7" cm="1">
        <f t="array" ref="F409">_xlfn.XLOOKUP(D409&amp;E409,'[1]Viirs77-Sol'!$C$2:$C$694&amp;'[1]Viirs77-Sol'!$D$2:$D$694,'[1]Viirs77-Sol'!$E$2:$E$694)</f>
        <v>16365.74409</v>
      </c>
      <c r="G409" s="7" cm="1">
        <f t="array" ref="G409">_xlfn.XLOOKUP(B409&amp;E409,'[2]Viirs77-Mean'!$A$2:$A$694&amp;'[2]Viirs77-Mean'!$D$2:$D$694,'[2]Viirs77-Mean'!$E$2:$E$694)</f>
        <v>0.79110454200000002</v>
      </c>
      <c r="H409" s="9" cm="1">
        <f t="array" ref="H409">_xlfn.XLOOKUP(D409,cleanprovinces!$B$2:$B$78,_xlfn.XLOOKUP(panel!E409,cleanprovinces!$C$1:$AC$1,cleanprovinces!$C$2:$AC$78,"no",0,1))</f>
        <v>22178</v>
      </c>
      <c r="I409" s="4">
        <f t="shared" si="19"/>
        <v>22178000000</v>
      </c>
      <c r="J409" s="3" cm="1">
        <f t="array" ref="J409">_xlfn.XLOOKUP(D409,[3]Sheet1!$B$2:$B$78,_xlfn.XLOOKUP(E409,[3]Sheet1!$C$1:$AC$1,[3]Sheet1!$C$2:$AC$78))</f>
        <v>507</v>
      </c>
      <c r="K409" s="3">
        <f t="shared" si="18"/>
        <v>507000</v>
      </c>
      <c r="L409" s="3">
        <f t="shared" si="20"/>
        <v>43743.589743589742</v>
      </c>
      <c r="M409" s="10">
        <v>100.356936730565</v>
      </c>
      <c r="N409" s="10">
        <v>16.237024170656799</v>
      </c>
    </row>
    <row r="410" spans="1:14" hidden="1" x14ac:dyDescent="0.3">
      <c r="A410" s="5">
        <v>21</v>
      </c>
      <c r="B410" s="5" t="str">
        <f>_xlfn.XLOOKUP(D410,'[1]Viirs77-Sol'!$C$2:$C$694,'[1]Viirs77-Sol'!$A$2:$A$694)</f>
        <v>TH-65</v>
      </c>
      <c r="C410" s="5" t="str">
        <f>_xlfn.XLOOKUP(D410,cleanprovinces!$B:$B,cleanprovinces!$A:$A)</f>
        <v>NO</v>
      </c>
      <c r="D410" s="5" t="s">
        <v>58</v>
      </c>
      <c r="E410" s="6">
        <v>2014</v>
      </c>
      <c r="F410" s="7" cm="1">
        <f t="array" ref="F410">_xlfn.XLOOKUP(D410&amp;E410,'[1]Viirs77-Sol'!$C$2:$C$694&amp;'[1]Viirs77-Sol'!$D$2:$D$694,'[1]Viirs77-Sol'!$E$2:$E$694)</f>
        <v>14090.02526</v>
      </c>
      <c r="G410" s="7" cm="1">
        <f t="array" ref="G410">_xlfn.XLOOKUP(B410&amp;E410,'[2]Viirs77-Mean'!$A$2:$A$694&amp;'[2]Viirs77-Mean'!$D$2:$D$694,'[2]Viirs77-Mean'!$E$2:$E$694)</f>
        <v>0.27022363700000002</v>
      </c>
      <c r="H410" s="9" cm="1">
        <f t="array" ref="H410">_xlfn.XLOOKUP(D410,cleanprovinces!$B$2:$B$78,_xlfn.XLOOKUP(panel!E410,cleanprovinces!$C$1:$AC$1,cleanprovinces!$C$2:$AC$78,"no",0,1))</f>
        <v>46893</v>
      </c>
      <c r="I410" s="4">
        <f t="shared" si="19"/>
        <v>46893000000</v>
      </c>
      <c r="J410" s="3" cm="1">
        <f t="array" ref="J410">_xlfn.XLOOKUP(D410,[3]Sheet1!$B$2:$B$78,_xlfn.XLOOKUP(E410,[3]Sheet1!$C$1:$AC$1,[3]Sheet1!$C$2:$AC$78))</f>
        <v>901</v>
      </c>
      <c r="K410" s="3">
        <f t="shared" si="18"/>
        <v>901000</v>
      </c>
      <c r="L410" s="3">
        <f t="shared" si="20"/>
        <v>52045.50499445061</v>
      </c>
      <c r="M410" s="10">
        <v>100.53625038475499</v>
      </c>
      <c r="N410" s="10">
        <v>16.979553267452001</v>
      </c>
    </row>
    <row r="411" spans="1:14" hidden="1" x14ac:dyDescent="0.3">
      <c r="A411" s="5">
        <v>21</v>
      </c>
      <c r="B411" s="5" t="str">
        <f>_xlfn.XLOOKUP(D411,'[1]Viirs77-Sol'!$C$2:$C$694,'[1]Viirs77-Sol'!$A$2:$A$694)</f>
        <v>TH-65</v>
      </c>
      <c r="C411" s="5" t="str">
        <f>_xlfn.XLOOKUP(D411,cleanprovinces!$B:$B,cleanprovinces!$A:$A)</f>
        <v>NO</v>
      </c>
      <c r="D411" s="5" t="s">
        <v>58</v>
      </c>
      <c r="E411" s="6">
        <v>2015</v>
      </c>
      <c r="F411" s="7" cm="1">
        <f t="array" ref="F411">_xlfn.XLOOKUP(D411&amp;E411,'[1]Viirs77-Sol'!$C$2:$C$694&amp;'[1]Viirs77-Sol'!$D$2:$D$694,'[1]Viirs77-Sol'!$E$2:$E$694)</f>
        <v>17537.497439999999</v>
      </c>
      <c r="G411" s="7" cm="1">
        <f t="array" ref="G411">_xlfn.XLOOKUP(B411&amp;E411,'[2]Viirs77-Mean'!$A$2:$A$694&amp;'[2]Viirs77-Mean'!$D$2:$D$694,'[2]Viirs77-Mean'!$E$2:$E$694)</f>
        <v>0.33634051500000001</v>
      </c>
      <c r="H411" s="9" cm="1">
        <f t="array" ref="H411">_xlfn.XLOOKUP(D411,cleanprovinces!$B$2:$B$78,_xlfn.XLOOKUP(panel!E411,cleanprovinces!$C$1:$AC$1,cleanprovinces!$C$2:$AC$78,"no",0,1))</f>
        <v>46111</v>
      </c>
      <c r="I411" s="4">
        <f t="shared" si="19"/>
        <v>46111000000</v>
      </c>
      <c r="J411" s="3" cm="1">
        <f t="array" ref="J411">_xlfn.XLOOKUP(D411,[3]Sheet1!$B$2:$B$78,_xlfn.XLOOKUP(E411,[3]Sheet1!$C$1:$AC$1,[3]Sheet1!$C$2:$AC$78))</f>
        <v>898</v>
      </c>
      <c r="K411" s="3">
        <f t="shared" si="18"/>
        <v>898000</v>
      </c>
      <c r="L411" s="3">
        <f t="shared" si="20"/>
        <v>51348.552338530069</v>
      </c>
      <c r="M411" s="10">
        <v>100.53625038475499</v>
      </c>
      <c r="N411" s="10">
        <v>16.979553267452001</v>
      </c>
    </row>
    <row r="412" spans="1:14" hidden="1" x14ac:dyDescent="0.3">
      <c r="A412" s="5">
        <v>21</v>
      </c>
      <c r="B412" s="5" t="str">
        <f>_xlfn.XLOOKUP(D412,'[1]Viirs77-Sol'!$C$2:$C$694,'[1]Viirs77-Sol'!$A$2:$A$694)</f>
        <v>TH-65</v>
      </c>
      <c r="C412" s="5" t="str">
        <f>_xlfn.XLOOKUP(D412,cleanprovinces!$B:$B,cleanprovinces!$A:$A)</f>
        <v>NO</v>
      </c>
      <c r="D412" s="5" t="s">
        <v>58</v>
      </c>
      <c r="E412" s="6">
        <v>2016</v>
      </c>
      <c r="F412" s="7" cm="1">
        <f t="array" ref="F412">_xlfn.XLOOKUP(D412&amp;E412,'[1]Viirs77-Sol'!$C$2:$C$694&amp;'[1]Viirs77-Sol'!$D$2:$D$694,'[1]Viirs77-Sol'!$E$2:$E$694)</f>
        <v>17220.408619999998</v>
      </c>
      <c r="G412" s="7" cm="1">
        <f t="array" ref="G412">_xlfn.XLOOKUP(B412&amp;E412,'[2]Viirs77-Mean'!$A$2:$A$694&amp;'[2]Viirs77-Mean'!$D$2:$D$694,'[2]Viirs77-Mean'!$E$2:$E$694)</f>
        <v>0.33025926999999999</v>
      </c>
      <c r="H412" s="9" cm="1">
        <f t="array" ref="H412">_xlfn.XLOOKUP(D412,cleanprovinces!$B$2:$B$78,_xlfn.XLOOKUP(panel!E412,cleanprovinces!$C$1:$AC$1,cleanprovinces!$C$2:$AC$78,"no",0,1))</f>
        <v>46190</v>
      </c>
      <c r="I412" s="4">
        <f t="shared" si="19"/>
        <v>46190000000</v>
      </c>
      <c r="J412" s="3" cm="1">
        <f t="array" ref="J412">_xlfn.XLOOKUP(D412,[3]Sheet1!$B$2:$B$78,_xlfn.XLOOKUP(E412,[3]Sheet1!$C$1:$AC$1,[3]Sheet1!$C$2:$AC$78))</f>
        <v>898</v>
      </c>
      <c r="K412" s="3">
        <f t="shared" si="18"/>
        <v>898000</v>
      </c>
      <c r="L412" s="3">
        <f t="shared" si="20"/>
        <v>51436.525612472164</v>
      </c>
      <c r="M412" s="10">
        <v>100.53625038475499</v>
      </c>
      <c r="N412" s="10">
        <v>16.979553267452001</v>
      </c>
    </row>
    <row r="413" spans="1:14" hidden="1" x14ac:dyDescent="0.3">
      <c r="A413" s="5">
        <v>21</v>
      </c>
      <c r="B413" s="5" t="str">
        <f>_xlfn.XLOOKUP(D413,'[1]Viirs77-Sol'!$C$2:$C$694,'[1]Viirs77-Sol'!$A$2:$A$694)</f>
        <v>TH-65</v>
      </c>
      <c r="C413" s="5" t="str">
        <f>_xlfn.XLOOKUP(D413,cleanprovinces!$B:$B,cleanprovinces!$A:$A)</f>
        <v>NO</v>
      </c>
      <c r="D413" s="5" t="s">
        <v>58</v>
      </c>
      <c r="E413" s="6">
        <v>2017</v>
      </c>
      <c r="F413" s="7" cm="1">
        <f t="array" ref="F413">_xlfn.XLOOKUP(D413&amp;E413,'[1]Viirs77-Sol'!$C$2:$C$694&amp;'[1]Viirs77-Sol'!$D$2:$D$694,'[1]Viirs77-Sol'!$E$2:$E$694)</f>
        <v>22278.518250000001</v>
      </c>
      <c r="G413" s="7" cm="1">
        <f t="array" ref="G413">_xlfn.XLOOKUP(B413&amp;E413,'[2]Viirs77-Mean'!$A$2:$A$694&amp;'[2]Viirs77-Mean'!$D$2:$D$694,'[2]Viirs77-Mean'!$E$2:$E$694)</f>
        <v>0.42726553900000003</v>
      </c>
      <c r="H413" s="9" cm="1">
        <f t="array" ref="H413">_xlfn.XLOOKUP(D413,cleanprovinces!$B$2:$B$78,_xlfn.XLOOKUP(panel!E413,cleanprovinces!$C$1:$AC$1,cleanprovinces!$C$2:$AC$78,"no",0,1))</f>
        <v>49297</v>
      </c>
      <c r="I413" s="4">
        <f t="shared" si="19"/>
        <v>49297000000</v>
      </c>
      <c r="J413" s="3" cm="1">
        <f t="array" ref="J413">_xlfn.XLOOKUP(D413,[3]Sheet1!$B$2:$B$78,_xlfn.XLOOKUP(E413,[3]Sheet1!$C$1:$AC$1,[3]Sheet1!$C$2:$AC$78))</f>
        <v>897</v>
      </c>
      <c r="K413" s="3">
        <f t="shared" si="18"/>
        <v>897000</v>
      </c>
      <c r="L413" s="3">
        <f t="shared" si="20"/>
        <v>54957.636566332221</v>
      </c>
      <c r="M413" s="10">
        <v>100.53625038475499</v>
      </c>
      <c r="N413" s="10">
        <v>16.979553267452001</v>
      </c>
    </row>
    <row r="414" spans="1:14" hidden="1" x14ac:dyDescent="0.3">
      <c r="A414" s="5">
        <v>21</v>
      </c>
      <c r="B414" s="5" t="str">
        <f>_xlfn.XLOOKUP(D414,'[1]Viirs77-Sol'!$C$2:$C$694,'[1]Viirs77-Sol'!$A$2:$A$694)</f>
        <v>TH-65</v>
      </c>
      <c r="C414" s="5" t="str">
        <f>_xlfn.XLOOKUP(D414,cleanprovinces!$B:$B,cleanprovinces!$A:$A)</f>
        <v>NO</v>
      </c>
      <c r="D414" s="5" t="s">
        <v>58</v>
      </c>
      <c r="E414" s="6">
        <v>2018</v>
      </c>
      <c r="F414" s="7" cm="1">
        <f t="array" ref="F414">_xlfn.XLOOKUP(D414&amp;E414,'[1]Viirs77-Sol'!$C$2:$C$694&amp;'[1]Viirs77-Sol'!$D$2:$D$694,'[1]Viirs77-Sol'!$E$2:$E$694)</f>
        <v>22751.445930000002</v>
      </c>
      <c r="G414" s="7" cm="1">
        <f t="array" ref="G414">_xlfn.XLOOKUP(B414&amp;E414,'[2]Viirs77-Mean'!$A$2:$A$694&amp;'[2]Viirs77-Mean'!$D$2:$D$694,'[2]Viirs77-Mean'!$E$2:$E$694)</f>
        <v>0.43633551799999998</v>
      </c>
      <c r="H414" s="9" cm="1">
        <f t="array" ref="H414">_xlfn.XLOOKUP(D414,cleanprovinces!$B$2:$B$78,_xlfn.XLOOKUP(panel!E414,cleanprovinces!$C$1:$AC$1,cleanprovinces!$C$2:$AC$78,"no",0,1))</f>
        <v>50862</v>
      </c>
      <c r="I414" s="4">
        <f t="shared" si="19"/>
        <v>50862000000</v>
      </c>
      <c r="J414" s="3" cm="1">
        <f t="array" ref="J414">_xlfn.XLOOKUP(D414,[3]Sheet1!$B$2:$B$78,_xlfn.XLOOKUP(E414,[3]Sheet1!$C$1:$AC$1,[3]Sheet1!$C$2:$AC$78))</f>
        <v>896</v>
      </c>
      <c r="K414" s="3">
        <f t="shared" si="18"/>
        <v>896000</v>
      </c>
      <c r="L414" s="3">
        <f t="shared" si="20"/>
        <v>56765.625</v>
      </c>
      <c r="M414" s="10">
        <v>100.53625038475499</v>
      </c>
      <c r="N414" s="10">
        <v>16.979553267452001</v>
      </c>
    </row>
    <row r="415" spans="1:14" hidden="1" x14ac:dyDescent="0.3">
      <c r="A415" s="5">
        <v>21</v>
      </c>
      <c r="B415" s="5" t="str">
        <f>_xlfn.XLOOKUP(D415,'[1]Viirs77-Sol'!$C$2:$C$694,'[1]Viirs77-Sol'!$A$2:$A$694)</f>
        <v>TH-65</v>
      </c>
      <c r="C415" s="5" t="str">
        <f>_xlfn.XLOOKUP(D415,cleanprovinces!$B:$B,cleanprovinces!$A:$A)</f>
        <v>NO</v>
      </c>
      <c r="D415" s="5" t="s">
        <v>58</v>
      </c>
      <c r="E415" s="6">
        <v>2019</v>
      </c>
      <c r="F415" s="7" cm="1">
        <f t="array" ref="F415">_xlfn.XLOOKUP(D415&amp;E415,'[1]Viirs77-Sol'!$C$2:$C$694&amp;'[1]Viirs77-Sol'!$D$2:$D$694,'[1]Viirs77-Sol'!$E$2:$E$694)</f>
        <v>25406.2333</v>
      </c>
      <c r="G415" s="7" cm="1">
        <f t="array" ref="G415">_xlfn.XLOOKUP(B415&amp;E415,'[2]Viirs77-Mean'!$A$2:$A$694&amp;'[2]Viirs77-Mean'!$D$2:$D$694,'[2]Viirs77-Mean'!$E$2:$E$694)</f>
        <v>0.48724999699999999</v>
      </c>
      <c r="H415" s="9" cm="1">
        <f t="array" ref="H415">_xlfn.XLOOKUP(D415,cleanprovinces!$B$2:$B$78,_xlfn.XLOOKUP(panel!E415,cleanprovinces!$C$1:$AC$1,cleanprovinces!$C$2:$AC$78,"no",0,1))</f>
        <v>51349</v>
      </c>
      <c r="I415" s="4">
        <f t="shared" si="19"/>
        <v>51349000000</v>
      </c>
      <c r="J415" s="3" cm="1">
        <f t="array" ref="J415">_xlfn.XLOOKUP(D415,[3]Sheet1!$B$2:$B$78,_xlfn.XLOOKUP(E415,[3]Sheet1!$C$1:$AC$1,[3]Sheet1!$C$2:$AC$78))</f>
        <v>896</v>
      </c>
      <c r="K415" s="3">
        <f t="shared" si="18"/>
        <v>896000</v>
      </c>
      <c r="L415" s="3">
        <f t="shared" si="20"/>
        <v>57309.151785714283</v>
      </c>
      <c r="M415" s="10">
        <v>100.53625038475499</v>
      </c>
      <c r="N415" s="10">
        <v>16.979553267452001</v>
      </c>
    </row>
    <row r="416" spans="1:14" hidden="1" x14ac:dyDescent="0.3">
      <c r="A416" s="5">
        <v>21</v>
      </c>
      <c r="B416" s="5" t="str">
        <f>_xlfn.XLOOKUP(D416,'[1]Viirs77-Sol'!$C$2:$C$694,'[1]Viirs77-Sol'!$A$2:$A$694)</f>
        <v>TH-65</v>
      </c>
      <c r="C416" s="5" t="str">
        <f>_xlfn.XLOOKUP(D416,cleanprovinces!$B:$B,cleanprovinces!$A:$A)</f>
        <v>NO</v>
      </c>
      <c r="D416" s="5" t="s">
        <v>58</v>
      </c>
      <c r="E416" s="6">
        <v>2020</v>
      </c>
      <c r="F416" s="7" cm="1">
        <f t="array" ref="F416">_xlfn.XLOOKUP(D416&amp;E416,'[1]Viirs77-Sol'!$C$2:$C$694&amp;'[1]Viirs77-Sol'!$D$2:$D$694,'[1]Viirs77-Sol'!$E$2:$E$694)</f>
        <v>26905.200809999998</v>
      </c>
      <c r="G416" s="7" cm="1">
        <f t="array" ref="G416">_xlfn.XLOOKUP(B416&amp;E416,'[2]Viirs77-Mean'!$A$2:$A$694&amp;'[2]Viirs77-Mean'!$D$2:$D$694,'[2]Viirs77-Mean'!$E$2:$E$694)</f>
        <v>0.51599774200000004</v>
      </c>
      <c r="H416" s="9" cm="1">
        <f t="array" ref="H416">_xlfn.XLOOKUP(D416,cleanprovinces!$B$2:$B$78,_xlfn.XLOOKUP(panel!E416,cleanprovinces!$C$1:$AC$1,cleanprovinces!$C$2:$AC$78,"no",0,1))</f>
        <v>48653</v>
      </c>
      <c r="I416" s="4">
        <f t="shared" si="19"/>
        <v>48653000000</v>
      </c>
      <c r="J416" s="3" cm="1">
        <f t="array" ref="J416">_xlfn.XLOOKUP(D416,[3]Sheet1!$B$2:$B$78,_xlfn.XLOOKUP(E416,[3]Sheet1!$C$1:$AC$1,[3]Sheet1!$C$2:$AC$78))</f>
        <v>896</v>
      </c>
      <c r="K416" s="3">
        <f t="shared" si="18"/>
        <v>896000</v>
      </c>
      <c r="L416" s="3">
        <f t="shared" si="20"/>
        <v>54300.223214285717</v>
      </c>
      <c r="M416" s="10">
        <v>100.53625038475499</v>
      </c>
      <c r="N416" s="10">
        <v>16.979553267452001</v>
      </c>
    </row>
    <row r="417" spans="1:14" hidden="1" x14ac:dyDescent="0.3">
      <c r="A417" s="5">
        <v>21</v>
      </c>
      <c r="B417" s="5" t="str">
        <f>_xlfn.XLOOKUP(D417,'[1]Viirs77-Sol'!$C$2:$C$694,'[1]Viirs77-Sol'!$A$2:$A$694)</f>
        <v>TH-65</v>
      </c>
      <c r="C417" s="5" t="str">
        <f>_xlfn.XLOOKUP(D417,cleanprovinces!$B:$B,cleanprovinces!$A:$A)</f>
        <v>NO</v>
      </c>
      <c r="D417" s="5" t="s">
        <v>58</v>
      </c>
      <c r="E417" s="6">
        <v>2021</v>
      </c>
      <c r="F417" s="7" cm="1">
        <f t="array" ref="F417">_xlfn.XLOOKUP(D417&amp;E417,'[1]Viirs77-Sol'!$C$2:$C$694&amp;'[1]Viirs77-Sol'!$D$2:$D$694,'[1]Viirs77-Sol'!$E$2:$E$694)</f>
        <v>30712.373920000002</v>
      </c>
      <c r="G417" s="7" cm="1">
        <f t="array" ref="G417">_xlfn.XLOOKUP(B417&amp;E417,'[2]Viirs77-Mean'!$A$2:$A$694&amp;'[2]Viirs77-Mean'!$D$2:$D$694,'[2]Viirs77-Mean'!$E$2:$E$694)</f>
        <v>0.58901309499999999</v>
      </c>
      <c r="H417" s="9" cm="1">
        <f t="array" ref="H417">_xlfn.XLOOKUP(D417,cleanprovinces!$B$2:$B$78,_xlfn.XLOOKUP(panel!E417,cleanprovinces!$C$1:$AC$1,cleanprovinces!$C$2:$AC$78,"no",0,1))</f>
        <v>50745</v>
      </c>
      <c r="I417" s="4">
        <f t="shared" si="19"/>
        <v>50745000000</v>
      </c>
      <c r="J417" s="3" cm="1">
        <f t="array" ref="J417">_xlfn.XLOOKUP(D417,[3]Sheet1!$B$2:$B$78,_xlfn.XLOOKUP(E417,[3]Sheet1!$C$1:$AC$1,[3]Sheet1!$C$2:$AC$78))</f>
        <v>895</v>
      </c>
      <c r="K417" s="3">
        <f t="shared" si="18"/>
        <v>895000</v>
      </c>
      <c r="L417" s="3">
        <f t="shared" si="20"/>
        <v>56698.324022346365</v>
      </c>
      <c r="M417" s="10">
        <v>100.53625038475499</v>
      </c>
      <c r="N417" s="10">
        <v>16.979553267452001</v>
      </c>
    </row>
    <row r="418" spans="1:14" hidden="1" x14ac:dyDescent="0.3">
      <c r="A418" s="5">
        <v>32</v>
      </c>
      <c r="B418" s="5" t="str">
        <f>_xlfn.XLOOKUP(D418,'[1]Viirs77-Sol'!$C$2:$C$694,'[1]Viirs77-Sol'!$A$2:$A$694)</f>
        <v>TH-54</v>
      </c>
      <c r="C418" s="5" t="str">
        <f>_xlfn.XLOOKUP(D418,cleanprovinces!$B:$B,cleanprovinces!$A:$A)</f>
        <v>NO</v>
      </c>
      <c r="D418" s="5" t="s">
        <v>53</v>
      </c>
      <c r="E418" s="6">
        <v>2014</v>
      </c>
      <c r="F418" s="7" cm="1">
        <f t="array" ref="F418">_xlfn.XLOOKUP(D418&amp;E418,'[1]Viirs77-Sol'!$C$2:$C$694&amp;'[1]Viirs77-Sol'!$D$2:$D$694,'[1]Viirs77-Sol'!$E$2:$E$694)</f>
        <v>6203.011759</v>
      </c>
      <c r="G418" s="7" cm="1">
        <f t="array" ref="G418">_xlfn.XLOOKUP(B418&amp;E418,'[2]Viirs77-Mean'!$A$2:$A$694&amp;'[2]Viirs77-Mean'!$D$2:$D$694,'[2]Viirs77-Mean'!$E$2:$E$694)</f>
        <v>0.191185999</v>
      </c>
      <c r="H418" s="9" cm="1">
        <f t="array" ref="H418">_xlfn.XLOOKUP(D418,cleanprovinces!$B$2:$B$78,_xlfn.XLOOKUP(panel!E418,cleanprovinces!$C$1:$AC$1,cleanprovinces!$C$2:$AC$78,"no",0,1))</f>
        <v>15910</v>
      </c>
      <c r="I418" s="4">
        <f t="shared" si="19"/>
        <v>15910000000</v>
      </c>
      <c r="J418" s="3" cm="1">
        <f t="array" ref="J418">_xlfn.XLOOKUP(D418,[3]Sheet1!$B$2:$B$78,_xlfn.XLOOKUP(E418,[3]Sheet1!$C$1:$AC$1,[3]Sheet1!$C$2:$AC$78))</f>
        <v>410</v>
      </c>
      <c r="K418" s="3">
        <f t="shared" si="18"/>
        <v>410000</v>
      </c>
      <c r="L418" s="3">
        <f t="shared" si="20"/>
        <v>38804.878048780491</v>
      </c>
      <c r="M418" s="10">
        <v>100.06303579988101</v>
      </c>
      <c r="N418" s="10">
        <v>18.1947454199065</v>
      </c>
    </row>
    <row r="419" spans="1:14" hidden="1" x14ac:dyDescent="0.3">
      <c r="A419" s="5">
        <v>32</v>
      </c>
      <c r="B419" s="5" t="str">
        <f>_xlfn.XLOOKUP(D419,'[1]Viirs77-Sol'!$C$2:$C$694,'[1]Viirs77-Sol'!$A$2:$A$694)</f>
        <v>TH-54</v>
      </c>
      <c r="C419" s="5" t="str">
        <f>_xlfn.XLOOKUP(D419,cleanprovinces!$B:$B,cleanprovinces!$A:$A)</f>
        <v>NO</v>
      </c>
      <c r="D419" s="5" t="s">
        <v>53</v>
      </c>
      <c r="E419" s="6">
        <v>2015</v>
      </c>
      <c r="F419" s="7" cm="1">
        <f t="array" ref="F419">_xlfn.XLOOKUP(D419&amp;E419,'[1]Viirs77-Sol'!$C$2:$C$694&amp;'[1]Viirs77-Sol'!$D$2:$D$694,'[1]Viirs77-Sol'!$E$2:$E$694)</f>
        <v>7528.0168320000002</v>
      </c>
      <c r="G419" s="7" cm="1">
        <f t="array" ref="G419">_xlfn.XLOOKUP(B419&amp;E419,'[2]Viirs77-Mean'!$A$2:$A$694&amp;'[2]Viirs77-Mean'!$D$2:$D$694,'[2]Viirs77-Mean'!$E$2:$E$694)</f>
        <v>0.23202461599999999</v>
      </c>
      <c r="H419" s="9" cm="1">
        <f t="array" ref="H419">_xlfn.XLOOKUP(D419,cleanprovinces!$B$2:$B$78,_xlfn.XLOOKUP(panel!E419,cleanprovinces!$C$1:$AC$1,cleanprovinces!$C$2:$AC$78,"no",0,1))</f>
        <v>15804</v>
      </c>
      <c r="I419" s="4">
        <f t="shared" si="19"/>
        <v>15804000000</v>
      </c>
      <c r="J419" s="3" cm="1">
        <f t="array" ref="J419">_xlfn.XLOOKUP(D419,[3]Sheet1!$B$2:$B$78,_xlfn.XLOOKUP(E419,[3]Sheet1!$C$1:$AC$1,[3]Sheet1!$C$2:$AC$78))</f>
        <v>405</v>
      </c>
      <c r="K419" s="3">
        <f t="shared" si="18"/>
        <v>405000</v>
      </c>
      <c r="L419" s="3">
        <f t="shared" si="20"/>
        <v>39022.222222222219</v>
      </c>
      <c r="M419" s="10">
        <v>100.06303579988101</v>
      </c>
      <c r="N419" s="10">
        <v>18.1947454199065</v>
      </c>
    </row>
    <row r="420" spans="1:14" hidden="1" x14ac:dyDescent="0.3">
      <c r="A420" s="5">
        <v>32</v>
      </c>
      <c r="B420" s="5" t="str">
        <f>_xlfn.XLOOKUP(D420,'[1]Viirs77-Sol'!$C$2:$C$694,'[1]Viirs77-Sol'!$A$2:$A$694)</f>
        <v>TH-54</v>
      </c>
      <c r="C420" s="5" t="str">
        <f>_xlfn.XLOOKUP(D420,cleanprovinces!$B:$B,cleanprovinces!$A:$A)</f>
        <v>NO</v>
      </c>
      <c r="D420" s="5" t="s">
        <v>53</v>
      </c>
      <c r="E420" s="6">
        <v>2016</v>
      </c>
      <c r="F420" s="7" cm="1">
        <f t="array" ref="F420">_xlfn.XLOOKUP(D420&amp;E420,'[1]Viirs77-Sol'!$C$2:$C$694&amp;'[1]Viirs77-Sol'!$D$2:$D$694,'[1]Viirs77-Sol'!$E$2:$E$694)</f>
        <v>7949.1784610000004</v>
      </c>
      <c r="G420" s="7" cm="1">
        <f t="array" ref="G420">_xlfn.XLOOKUP(B420&amp;E420,'[2]Viirs77-Mean'!$A$2:$A$694&amp;'[2]Viirs77-Mean'!$D$2:$D$694,'[2]Viirs77-Mean'!$E$2:$E$694)</f>
        <v>0.24500544099999999</v>
      </c>
      <c r="H420" s="9" cm="1">
        <f t="array" ref="H420">_xlfn.XLOOKUP(D420,cleanprovinces!$B$2:$B$78,_xlfn.XLOOKUP(panel!E420,cleanprovinces!$C$1:$AC$1,cleanprovinces!$C$2:$AC$78,"no",0,1))</f>
        <v>16965</v>
      </c>
      <c r="I420" s="4">
        <f t="shared" si="19"/>
        <v>16965000000</v>
      </c>
      <c r="J420" s="3" cm="1">
        <f t="array" ref="J420">_xlfn.XLOOKUP(D420,[3]Sheet1!$B$2:$B$78,_xlfn.XLOOKUP(E420,[3]Sheet1!$C$1:$AC$1,[3]Sheet1!$C$2:$AC$78))</f>
        <v>399</v>
      </c>
      <c r="K420" s="3">
        <f t="shared" si="18"/>
        <v>399000</v>
      </c>
      <c r="L420" s="3">
        <f t="shared" si="20"/>
        <v>42518.796992481206</v>
      </c>
      <c r="M420" s="10">
        <v>100.06303579988101</v>
      </c>
      <c r="N420" s="10">
        <v>18.1947454199065</v>
      </c>
    </row>
    <row r="421" spans="1:14" hidden="1" x14ac:dyDescent="0.3">
      <c r="A421" s="5">
        <v>32</v>
      </c>
      <c r="B421" s="5" t="str">
        <f>_xlfn.XLOOKUP(D421,'[1]Viirs77-Sol'!$C$2:$C$694,'[1]Viirs77-Sol'!$A$2:$A$694)</f>
        <v>TH-54</v>
      </c>
      <c r="C421" s="5" t="str">
        <f>_xlfn.XLOOKUP(D421,cleanprovinces!$B:$B,cleanprovinces!$A:$A)</f>
        <v>NO</v>
      </c>
      <c r="D421" s="5" t="s">
        <v>53</v>
      </c>
      <c r="E421" s="6">
        <v>2017</v>
      </c>
      <c r="F421" s="7" cm="1">
        <f t="array" ref="F421">_xlfn.XLOOKUP(D421&amp;E421,'[1]Viirs77-Sol'!$C$2:$C$694&amp;'[1]Viirs77-Sol'!$D$2:$D$694,'[1]Viirs77-Sol'!$E$2:$E$694)</f>
        <v>10327.05567</v>
      </c>
      <c r="G421" s="7" cm="1">
        <f t="array" ref="G421">_xlfn.XLOOKUP(B421&amp;E421,'[2]Viirs77-Mean'!$A$2:$A$694&amp;'[2]Viirs77-Mean'!$D$2:$D$694,'[2]Viirs77-Mean'!$E$2:$E$694)</f>
        <v>0.31829513399999998</v>
      </c>
      <c r="H421" s="9" cm="1">
        <f t="array" ref="H421">_xlfn.XLOOKUP(D421,cleanprovinces!$B$2:$B$78,_xlfn.XLOOKUP(panel!E421,cleanprovinces!$C$1:$AC$1,cleanprovinces!$C$2:$AC$78,"no",0,1))</f>
        <v>17153</v>
      </c>
      <c r="I421" s="4">
        <f t="shared" si="19"/>
        <v>17153000000</v>
      </c>
      <c r="J421" s="3" cm="1">
        <f t="array" ref="J421">_xlfn.XLOOKUP(D421,[3]Sheet1!$B$2:$B$78,_xlfn.XLOOKUP(E421,[3]Sheet1!$C$1:$AC$1,[3]Sheet1!$C$2:$AC$78))</f>
        <v>394</v>
      </c>
      <c r="K421" s="3">
        <f t="shared" si="18"/>
        <v>394000</v>
      </c>
      <c r="L421" s="3">
        <f t="shared" si="20"/>
        <v>43535.532994923858</v>
      </c>
      <c r="M421" s="10">
        <v>100.06303579988101</v>
      </c>
      <c r="N421" s="10">
        <v>18.1947454199065</v>
      </c>
    </row>
    <row r="422" spans="1:14" hidden="1" x14ac:dyDescent="0.3">
      <c r="A422" s="5">
        <v>32</v>
      </c>
      <c r="B422" s="5" t="str">
        <f>_xlfn.XLOOKUP(D422,'[1]Viirs77-Sol'!$C$2:$C$694,'[1]Viirs77-Sol'!$A$2:$A$694)</f>
        <v>TH-54</v>
      </c>
      <c r="C422" s="5" t="str">
        <f>_xlfn.XLOOKUP(D422,cleanprovinces!$B:$B,cleanprovinces!$A:$A)</f>
        <v>NO</v>
      </c>
      <c r="D422" s="5" t="s">
        <v>53</v>
      </c>
      <c r="E422" s="6">
        <v>2018</v>
      </c>
      <c r="F422" s="7" cm="1">
        <f t="array" ref="F422">_xlfn.XLOOKUP(D422&amp;E422,'[1]Viirs77-Sol'!$C$2:$C$694&amp;'[1]Viirs77-Sol'!$D$2:$D$694,'[1]Viirs77-Sol'!$E$2:$E$694)</f>
        <v>10869.853499999999</v>
      </c>
      <c r="G422" s="7" cm="1">
        <f t="array" ref="G422">_xlfn.XLOOKUP(B422&amp;E422,'[2]Viirs77-Mean'!$A$2:$A$694&amp;'[2]Viirs77-Mean'!$D$2:$D$694,'[2]Viirs77-Mean'!$E$2:$E$694)</f>
        <v>0.33502496599999998</v>
      </c>
      <c r="H422" s="9" cm="1">
        <f t="array" ref="H422">_xlfn.XLOOKUP(D422,cleanprovinces!$B$2:$B$78,_xlfn.XLOOKUP(panel!E422,cleanprovinces!$C$1:$AC$1,cleanprovinces!$C$2:$AC$78,"no",0,1))</f>
        <v>17786</v>
      </c>
      <c r="I422" s="4">
        <f t="shared" si="19"/>
        <v>17786000000</v>
      </c>
      <c r="J422" s="3" cm="1">
        <f t="array" ref="J422">_xlfn.XLOOKUP(D422,[3]Sheet1!$B$2:$B$78,_xlfn.XLOOKUP(E422,[3]Sheet1!$C$1:$AC$1,[3]Sheet1!$C$2:$AC$78))</f>
        <v>388</v>
      </c>
      <c r="K422" s="3">
        <f t="shared" si="18"/>
        <v>388000</v>
      </c>
      <c r="L422" s="3">
        <f t="shared" si="20"/>
        <v>45840.206185567011</v>
      </c>
      <c r="M422" s="10">
        <v>100.06303579988101</v>
      </c>
      <c r="N422" s="10">
        <v>18.1947454199065</v>
      </c>
    </row>
    <row r="423" spans="1:14" hidden="1" x14ac:dyDescent="0.3">
      <c r="A423" s="5">
        <v>32</v>
      </c>
      <c r="B423" s="5" t="str">
        <f>_xlfn.XLOOKUP(D423,'[1]Viirs77-Sol'!$C$2:$C$694,'[1]Viirs77-Sol'!$A$2:$A$694)</f>
        <v>TH-54</v>
      </c>
      <c r="C423" s="5" t="str">
        <f>_xlfn.XLOOKUP(D423,cleanprovinces!$B:$B,cleanprovinces!$A:$A)</f>
        <v>NO</v>
      </c>
      <c r="D423" s="5" t="s">
        <v>53</v>
      </c>
      <c r="E423" s="6">
        <v>2019</v>
      </c>
      <c r="F423" s="7" cm="1">
        <f t="array" ref="F423">_xlfn.XLOOKUP(D423&amp;E423,'[1]Viirs77-Sol'!$C$2:$C$694&amp;'[1]Viirs77-Sol'!$D$2:$D$694,'[1]Viirs77-Sol'!$E$2:$E$694)</f>
        <v>12524.35151</v>
      </c>
      <c r="G423" s="7" cm="1">
        <f t="array" ref="G423">_xlfn.XLOOKUP(B423&amp;E423,'[2]Viirs77-Mean'!$A$2:$A$694&amp;'[2]Viirs77-Mean'!$D$2:$D$694,'[2]Viirs77-Mean'!$E$2:$E$694)</f>
        <v>0.38601904300000001</v>
      </c>
      <c r="H423" s="9" cm="1">
        <f t="array" ref="H423">_xlfn.XLOOKUP(D423,cleanprovinces!$B$2:$B$78,_xlfn.XLOOKUP(panel!E423,cleanprovinces!$C$1:$AC$1,cleanprovinces!$C$2:$AC$78,"no",0,1))</f>
        <v>17717</v>
      </c>
      <c r="I423" s="4">
        <f t="shared" si="19"/>
        <v>17717000000</v>
      </c>
      <c r="J423" s="3" cm="1">
        <f t="array" ref="J423">_xlfn.XLOOKUP(D423,[3]Sheet1!$B$2:$B$78,_xlfn.XLOOKUP(E423,[3]Sheet1!$C$1:$AC$1,[3]Sheet1!$C$2:$AC$78))</f>
        <v>383</v>
      </c>
      <c r="K423" s="3">
        <f t="shared" si="18"/>
        <v>383000</v>
      </c>
      <c r="L423" s="3">
        <f t="shared" si="20"/>
        <v>46258.485639686682</v>
      </c>
      <c r="M423" s="10">
        <v>100.06303579988101</v>
      </c>
      <c r="N423" s="10">
        <v>18.1947454199065</v>
      </c>
    </row>
    <row r="424" spans="1:14" hidden="1" x14ac:dyDescent="0.3">
      <c r="A424" s="5">
        <v>32</v>
      </c>
      <c r="B424" s="5" t="str">
        <f>_xlfn.XLOOKUP(D424,'[1]Viirs77-Sol'!$C$2:$C$694,'[1]Viirs77-Sol'!$A$2:$A$694)</f>
        <v>TH-54</v>
      </c>
      <c r="C424" s="5" t="str">
        <f>_xlfn.XLOOKUP(D424,cleanprovinces!$B:$B,cleanprovinces!$A:$A)</f>
        <v>NO</v>
      </c>
      <c r="D424" s="5" t="s">
        <v>53</v>
      </c>
      <c r="E424" s="6">
        <v>2020</v>
      </c>
      <c r="F424" s="7" cm="1">
        <f t="array" ref="F424">_xlfn.XLOOKUP(D424&amp;E424,'[1]Viirs77-Sol'!$C$2:$C$694&amp;'[1]Viirs77-Sol'!$D$2:$D$694,'[1]Viirs77-Sol'!$E$2:$E$694)</f>
        <v>13746.837159999999</v>
      </c>
      <c r="G424" s="7" cm="1">
        <f t="array" ref="G424">_xlfn.XLOOKUP(B424&amp;E424,'[2]Viirs77-Mean'!$A$2:$A$694&amp;'[2]Viirs77-Mean'!$D$2:$D$694,'[2]Viirs77-Mean'!$E$2:$E$694)</f>
        <v>0.42369785900000001</v>
      </c>
      <c r="H424" s="9" cm="1">
        <f t="array" ref="H424">_xlfn.XLOOKUP(D424,cleanprovinces!$B$2:$B$78,_xlfn.XLOOKUP(panel!E424,cleanprovinces!$C$1:$AC$1,cleanprovinces!$C$2:$AC$78,"no",0,1))</f>
        <v>17511</v>
      </c>
      <c r="I424" s="4">
        <f t="shared" si="19"/>
        <v>17511000000</v>
      </c>
      <c r="J424" s="3" cm="1">
        <f t="array" ref="J424">_xlfn.XLOOKUP(D424,[3]Sheet1!$B$2:$B$78,_xlfn.XLOOKUP(E424,[3]Sheet1!$C$1:$AC$1,[3]Sheet1!$C$2:$AC$78))</f>
        <v>378</v>
      </c>
      <c r="K424" s="3">
        <f t="shared" si="18"/>
        <v>378000</v>
      </c>
      <c r="L424" s="3">
        <f t="shared" si="20"/>
        <v>46325.396825396827</v>
      </c>
      <c r="M424" s="10">
        <v>100.06303579988101</v>
      </c>
      <c r="N424" s="10">
        <v>18.1947454199065</v>
      </c>
    </row>
    <row r="425" spans="1:14" hidden="1" x14ac:dyDescent="0.3">
      <c r="A425" s="5">
        <v>32</v>
      </c>
      <c r="B425" s="5" t="str">
        <f>_xlfn.XLOOKUP(D425,'[1]Viirs77-Sol'!$C$2:$C$694,'[1]Viirs77-Sol'!$A$2:$A$694)</f>
        <v>TH-54</v>
      </c>
      <c r="C425" s="5" t="str">
        <f>_xlfn.XLOOKUP(D425,cleanprovinces!$B:$B,cleanprovinces!$A:$A)</f>
        <v>NO</v>
      </c>
      <c r="D425" s="5" t="s">
        <v>53</v>
      </c>
      <c r="E425" s="6">
        <v>2021</v>
      </c>
      <c r="F425" s="7" cm="1">
        <f t="array" ref="F425">_xlfn.XLOOKUP(D425&amp;E425,'[1]Viirs77-Sol'!$C$2:$C$694&amp;'[1]Viirs77-Sol'!$D$2:$D$694,'[1]Viirs77-Sol'!$E$2:$E$694)</f>
        <v>14748.738009999999</v>
      </c>
      <c r="G425" s="7" cm="1">
        <f t="array" ref="G425">_xlfn.XLOOKUP(B425&amp;E425,'[2]Viirs77-Mean'!$A$2:$A$694&amp;'[2]Viirs77-Mean'!$D$2:$D$694,'[2]Viirs77-Mean'!$E$2:$E$694)</f>
        <v>0.45457792499999999</v>
      </c>
      <c r="H425" s="9" cm="1">
        <f t="array" ref="H425">_xlfn.XLOOKUP(D425,cleanprovinces!$B$2:$B$78,_xlfn.XLOOKUP(panel!E425,cleanprovinces!$C$1:$AC$1,cleanprovinces!$C$2:$AC$78,"no",0,1))</f>
        <v>17369</v>
      </c>
      <c r="I425" s="4">
        <f t="shared" si="19"/>
        <v>17369000000</v>
      </c>
      <c r="J425" s="3" cm="1">
        <f t="array" ref="J425">_xlfn.XLOOKUP(D425,[3]Sheet1!$B$2:$B$78,_xlfn.XLOOKUP(E425,[3]Sheet1!$C$1:$AC$1,[3]Sheet1!$C$2:$AC$78))</f>
        <v>372</v>
      </c>
      <c r="K425" s="3">
        <f t="shared" si="18"/>
        <v>372000</v>
      </c>
      <c r="L425" s="3">
        <f t="shared" si="20"/>
        <v>46690.860215053763</v>
      </c>
      <c r="M425" s="10">
        <v>100.06303579988101</v>
      </c>
      <c r="N425" s="10">
        <v>18.1947454199065</v>
      </c>
    </row>
    <row r="426" spans="1:14" hidden="1" x14ac:dyDescent="0.3">
      <c r="A426" s="5">
        <v>7</v>
      </c>
      <c r="B426" s="5" t="str">
        <f>_xlfn.XLOOKUP(D426,'[1]Viirs77-Sol'!$C$2:$C$694,'[1]Viirs77-Sol'!$A$2:$A$694)</f>
        <v>TH-64</v>
      </c>
      <c r="C426" s="5" t="str">
        <f>_xlfn.XLOOKUP(D426,cleanprovinces!$B:$B,cleanprovinces!$A:$A)</f>
        <v>NO</v>
      </c>
      <c r="D426" s="5" t="s">
        <v>61</v>
      </c>
      <c r="E426" s="6">
        <v>2014</v>
      </c>
      <c r="F426" s="7" cm="1">
        <f t="array" ref="F426">_xlfn.XLOOKUP(D426&amp;E426,'[1]Viirs77-Sol'!$C$2:$C$694&amp;'[1]Viirs77-Sol'!$D$2:$D$694,'[1]Viirs77-Sol'!$E$2:$E$694)</f>
        <v>9204.4444079999994</v>
      </c>
      <c r="G426" s="7" cm="1">
        <f t="array" ref="G426">_xlfn.XLOOKUP(B426&amp;E426,'[2]Viirs77-Mean'!$A$2:$A$694&amp;'[2]Viirs77-Mean'!$D$2:$D$694,'[2]Viirs77-Mean'!$E$2:$E$694)</f>
        <v>0.26569390599999998</v>
      </c>
      <c r="H426" s="9" cm="1">
        <f t="array" ref="H426">_xlfn.XLOOKUP(D426,cleanprovinces!$B$2:$B$78,_xlfn.XLOOKUP(panel!E426,cleanprovinces!$C$1:$AC$1,cleanprovinces!$C$2:$AC$78,"no",0,1))</f>
        <v>24637</v>
      </c>
      <c r="I426" s="4">
        <f t="shared" si="19"/>
        <v>24637000000</v>
      </c>
      <c r="J426" s="3" cm="1">
        <f t="array" ref="J426">_xlfn.XLOOKUP(D426,[3]Sheet1!$B$2:$B$78,_xlfn.XLOOKUP(E426,[3]Sheet1!$C$1:$AC$1,[3]Sheet1!$C$2:$AC$78))</f>
        <v>621</v>
      </c>
      <c r="K426" s="3">
        <f t="shared" si="18"/>
        <v>621000</v>
      </c>
      <c r="L426" s="3">
        <f t="shared" si="20"/>
        <v>39673.107890499195</v>
      </c>
      <c r="M426" s="10">
        <v>99.698506189744194</v>
      </c>
      <c r="N426" s="10">
        <v>17.247575558431901</v>
      </c>
    </row>
    <row r="427" spans="1:14" hidden="1" x14ac:dyDescent="0.3">
      <c r="A427" s="5">
        <v>7</v>
      </c>
      <c r="B427" s="5" t="str">
        <f>_xlfn.XLOOKUP(D427,'[1]Viirs77-Sol'!$C$2:$C$694,'[1]Viirs77-Sol'!$A$2:$A$694)</f>
        <v>TH-64</v>
      </c>
      <c r="C427" s="5" t="str">
        <f>_xlfn.XLOOKUP(D427,cleanprovinces!$B:$B,cleanprovinces!$A:$A)</f>
        <v>NO</v>
      </c>
      <c r="D427" s="5" t="s">
        <v>61</v>
      </c>
      <c r="E427" s="6">
        <v>2015</v>
      </c>
      <c r="F427" s="7" cm="1">
        <f t="array" ref="F427">_xlfn.XLOOKUP(D427&amp;E427,'[1]Viirs77-Sol'!$C$2:$C$694&amp;'[1]Viirs77-Sol'!$D$2:$D$694,'[1]Viirs77-Sol'!$E$2:$E$694)</f>
        <v>10514.276110000001</v>
      </c>
      <c r="G427" s="7" cm="1">
        <f t="array" ref="G427">_xlfn.XLOOKUP(B427&amp;E427,'[2]Viirs77-Mean'!$A$2:$A$694&amp;'[2]Viirs77-Mean'!$D$2:$D$694,'[2]Viirs77-Mean'!$E$2:$E$694)</f>
        <v>0.30350328199999999</v>
      </c>
      <c r="H427" s="9" cm="1">
        <f t="array" ref="H427">_xlfn.XLOOKUP(D427,cleanprovinces!$B$2:$B$78,_xlfn.XLOOKUP(panel!E427,cleanprovinces!$C$1:$AC$1,cleanprovinces!$C$2:$AC$78,"no",0,1))</f>
        <v>23921</v>
      </c>
      <c r="I427" s="4">
        <f t="shared" si="19"/>
        <v>23921000000</v>
      </c>
      <c r="J427" s="3" cm="1">
        <f t="array" ref="J427">_xlfn.XLOOKUP(D427,[3]Sheet1!$B$2:$B$78,_xlfn.XLOOKUP(E427,[3]Sheet1!$C$1:$AC$1,[3]Sheet1!$C$2:$AC$78))</f>
        <v>618</v>
      </c>
      <c r="K427" s="3">
        <f t="shared" si="18"/>
        <v>618000</v>
      </c>
      <c r="L427" s="3">
        <f t="shared" si="20"/>
        <v>38707.119741100323</v>
      </c>
      <c r="M427" s="10">
        <v>99.698506189744194</v>
      </c>
      <c r="N427" s="10">
        <v>17.247575558431901</v>
      </c>
    </row>
    <row r="428" spans="1:14" hidden="1" x14ac:dyDescent="0.3">
      <c r="A428" s="5">
        <v>7</v>
      </c>
      <c r="B428" s="5" t="str">
        <f>_xlfn.XLOOKUP(D428,'[1]Viirs77-Sol'!$C$2:$C$694,'[1]Viirs77-Sol'!$A$2:$A$694)</f>
        <v>TH-64</v>
      </c>
      <c r="C428" s="5" t="str">
        <f>_xlfn.XLOOKUP(D428,cleanprovinces!$B:$B,cleanprovinces!$A:$A)</f>
        <v>NO</v>
      </c>
      <c r="D428" s="5" t="s">
        <v>61</v>
      </c>
      <c r="E428" s="6">
        <v>2016</v>
      </c>
      <c r="F428" s="7" cm="1">
        <f t="array" ref="F428">_xlfn.XLOOKUP(D428&amp;E428,'[1]Viirs77-Sol'!$C$2:$C$694&amp;'[1]Viirs77-Sol'!$D$2:$D$694,'[1]Viirs77-Sol'!$E$2:$E$694)</f>
        <v>10700.42518</v>
      </c>
      <c r="G428" s="7" cm="1">
        <f t="array" ref="G428">_xlfn.XLOOKUP(B428&amp;E428,'[2]Viirs77-Mean'!$A$2:$A$694&amp;'[2]Viirs77-Mean'!$D$2:$D$694,'[2]Viirs77-Mean'!$E$2:$E$694)</f>
        <v>0.30887662900000001</v>
      </c>
      <c r="H428" s="9" cm="1">
        <f t="array" ref="H428">_xlfn.XLOOKUP(D428,cleanprovinces!$B$2:$B$78,_xlfn.XLOOKUP(panel!E428,cleanprovinces!$C$1:$AC$1,cleanprovinces!$C$2:$AC$78,"no",0,1))</f>
        <v>24928</v>
      </c>
      <c r="I428" s="4">
        <f t="shared" si="19"/>
        <v>24928000000</v>
      </c>
      <c r="J428" s="3" cm="1">
        <f t="array" ref="J428">_xlfn.XLOOKUP(D428,[3]Sheet1!$B$2:$B$78,_xlfn.XLOOKUP(E428,[3]Sheet1!$C$1:$AC$1,[3]Sheet1!$C$2:$AC$78))</f>
        <v>616</v>
      </c>
      <c r="K428" s="3">
        <f t="shared" si="18"/>
        <v>616000</v>
      </c>
      <c r="L428" s="3">
        <f t="shared" si="20"/>
        <v>40467.532467532466</v>
      </c>
      <c r="M428" s="10">
        <v>99.698506189744194</v>
      </c>
      <c r="N428" s="10">
        <v>17.247575558431901</v>
      </c>
    </row>
    <row r="429" spans="1:14" hidden="1" x14ac:dyDescent="0.3">
      <c r="A429" s="5">
        <v>7</v>
      </c>
      <c r="B429" s="5" t="str">
        <f>_xlfn.XLOOKUP(D429,'[1]Viirs77-Sol'!$C$2:$C$694,'[1]Viirs77-Sol'!$A$2:$A$694)</f>
        <v>TH-64</v>
      </c>
      <c r="C429" s="5" t="str">
        <f>_xlfn.XLOOKUP(D429,cleanprovinces!$B:$B,cleanprovinces!$A:$A)</f>
        <v>NO</v>
      </c>
      <c r="D429" s="5" t="s">
        <v>61</v>
      </c>
      <c r="E429" s="6">
        <v>2017</v>
      </c>
      <c r="F429" s="7" cm="1">
        <f t="array" ref="F429">_xlfn.XLOOKUP(D429&amp;E429,'[1]Viirs77-Sol'!$C$2:$C$694&amp;'[1]Viirs77-Sol'!$D$2:$D$694,'[1]Viirs77-Sol'!$E$2:$E$694)</f>
        <v>13369.94924</v>
      </c>
      <c r="G429" s="7" cm="1">
        <f t="array" ref="G429">_xlfn.XLOOKUP(B429&amp;E429,'[2]Viirs77-Mean'!$A$2:$A$694&amp;'[2]Viirs77-Mean'!$D$2:$D$694,'[2]Viirs77-Mean'!$E$2:$E$694)</f>
        <v>0.38593465100000002</v>
      </c>
      <c r="H429" s="9" cm="1">
        <f t="array" ref="H429">_xlfn.XLOOKUP(D429,cleanprovinces!$B$2:$B$78,_xlfn.XLOOKUP(panel!E429,cleanprovinces!$C$1:$AC$1,cleanprovinces!$C$2:$AC$78,"no",0,1))</f>
        <v>26181</v>
      </c>
      <c r="I429" s="4">
        <f t="shared" si="19"/>
        <v>26181000000</v>
      </c>
      <c r="J429" s="3" cm="1">
        <f t="array" ref="J429">_xlfn.XLOOKUP(D429,[3]Sheet1!$B$2:$B$78,_xlfn.XLOOKUP(E429,[3]Sheet1!$C$1:$AC$1,[3]Sheet1!$C$2:$AC$78))</f>
        <v>615</v>
      </c>
      <c r="K429" s="3">
        <f t="shared" si="18"/>
        <v>615000</v>
      </c>
      <c r="L429" s="3">
        <f t="shared" si="20"/>
        <v>42570.731707317071</v>
      </c>
      <c r="M429" s="10">
        <v>99.698506189744194</v>
      </c>
      <c r="N429" s="10">
        <v>17.247575558431901</v>
      </c>
    </row>
    <row r="430" spans="1:14" hidden="1" x14ac:dyDescent="0.3">
      <c r="A430" s="5">
        <v>7</v>
      </c>
      <c r="B430" s="5" t="str">
        <f>_xlfn.XLOOKUP(D430,'[1]Viirs77-Sol'!$C$2:$C$694,'[1]Viirs77-Sol'!$A$2:$A$694)</f>
        <v>TH-64</v>
      </c>
      <c r="C430" s="5" t="str">
        <f>_xlfn.XLOOKUP(D430,cleanprovinces!$B:$B,cleanprovinces!$A:$A)</f>
        <v>NO</v>
      </c>
      <c r="D430" s="5" t="s">
        <v>61</v>
      </c>
      <c r="E430" s="6">
        <v>2018</v>
      </c>
      <c r="F430" s="7" cm="1">
        <f t="array" ref="F430">_xlfn.XLOOKUP(D430&amp;E430,'[1]Viirs77-Sol'!$C$2:$C$694&amp;'[1]Viirs77-Sol'!$D$2:$D$694,'[1]Viirs77-Sol'!$E$2:$E$694)</f>
        <v>12481.32504</v>
      </c>
      <c r="G430" s="7" cm="1">
        <f t="array" ref="G430">_xlfn.XLOOKUP(B430&amp;E430,'[2]Viirs77-Mean'!$A$2:$A$694&amp;'[2]Viirs77-Mean'!$D$2:$D$694,'[2]Viirs77-Mean'!$E$2:$E$694)</f>
        <v>0.360283778</v>
      </c>
      <c r="H430" s="9" cm="1">
        <f t="array" ref="H430">_xlfn.XLOOKUP(D430,cleanprovinces!$B$2:$B$78,_xlfn.XLOOKUP(panel!E430,cleanprovinces!$C$1:$AC$1,cleanprovinces!$C$2:$AC$78,"no",0,1))</f>
        <v>28277</v>
      </c>
      <c r="I430" s="4">
        <f t="shared" si="19"/>
        <v>28277000000</v>
      </c>
      <c r="J430" s="3" cm="1">
        <f t="array" ref="J430">_xlfn.XLOOKUP(D430,[3]Sheet1!$B$2:$B$78,_xlfn.XLOOKUP(E430,[3]Sheet1!$C$1:$AC$1,[3]Sheet1!$C$2:$AC$78))</f>
        <v>613</v>
      </c>
      <c r="K430" s="3">
        <f t="shared" si="18"/>
        <v>613000</v>
      </c>
      <c r="L430" s="3">
        <f t="shared" si="20"/>
        <v>46128.874388254488</v>
      </c>
      <c r="M430" s="10">
        <v>99.698506189744194</v>
      </c>
      <c r="N430" s="10">
        <v>17.247575558431901</v>
      </c>
    </row>
    <row r="431" spans="1:14" hidden="1" x14ac:dyDescent="0.3">
      <c r="A431" s="5">
        <v>7</v>
      </c>
      <c r="B431" s="5" t="str">
        <f>_xlfn.XLOOKUP(D431,'[1]Viirs77-Sol'!$C$2:$C$694,'[1]Viirs77-Sol'!$A$2:$A$694)</f>
        <v>TH-64</v>
      </c>
      <c r="C431" s="5" t="str">
        <f>_xlfn.XLOOKUP(D431,cleanprovinces!$B:$B,cleanprovinces!$A:$A)</f>
        <v>NO</v>
      </c>
      <c r="D431" s="5" t="s">
        <v>61</v>
      </c>
      <c r="E431" s="6">
        <v>2019</v>
      </c>
      <c r="F431" s="7" cm="1">
        <f t="array" ref="F431">_xlfn.XLOOKUP(D431&amp;E431,'[1]Viirs77-Sol'!$C$2:$C$694&amp;'[1]Viirs77-Sol'!$D$2:$D$694,'[1]Viirs77-Sol'!$E$2:$E$694)</f>
        <v>13431.5188</v>
      </c>
      <c r="G431" s="7" cm="1">
        <f t="array" ref="G431">_xlfn.XLOOKUP(B431&amp;E431,'[2]Viirs77-Mean'!$A$2:$A$694&amp;'[2]Viirs77-Mean'!$D$2:$D$694,'[2]Viirs77-Mean'!$E$2:$E$694)</f>
        <v>0.38771190700000002</v>
      </c>
      <c r="H431" s="9" cm="1">
        <f t="array" ref="H431">_xlfn.XLOOKUP(D431,cleanprovinces!$B$2:$B$78,_xlfn.XLOOKUP(panel!E431,cleanprovinces!$C$1:$AC$1,cleanprovinces!$C$2:$AC$78,"no",0,1))</f>
        <v>27442</v>
      </c>
      <c r="I431" s="4">
        <f t="shared" si="19"/>
        <v>27442000000</v>
      </c>
      <c r="J431" s="3" cm="1">
        <f t="array" ref="J431">_xlfn.XLOOKUP(D431,[3]Sheet1!$B$2:$B$78,_xlfn.XLOOKUP(E431,[3]Sheet1!$C$1:$AC$1,[3]Sheet1!$C$2:$AC$78))</f>
        <v>612</v>
      </c>
      <c r="K431" s="3">
        <f t="shared" si="18"/>
        <v>612000</v>
      </c>
      <c r="L431" s="3">
        <f t="shared" si="20"/>
        <v>44839.869281045751</v>
      </c>
      <c r="M431" s="10">
        <v>99.698506189744194</v>
      </c>
      <c r="N431" s="10">
        <v>17.247575558431901</v>
      </c>
    </row>
    <row r="432" spans="1:14" hidden="1" x14ac:dyDescent="0.3">
      <c r="A432" s="5">
        <v>7</v>
      </c>
      <c r="B432" s="5" t="str">
        <f>_xlfn.XLOOKUP(D432,'[1]Viirs77-Sol'!$C$2:$C$694,'[1]Viirs77-Sol'!$A$2:$A$694)</f>
        <v>TH-64</v>
      </c>
      <c r="C432" s="5" t="str">
        <f>_xlfn.XLOOKUP(D432,cleanprovinces!$B:$B,cleanprovinces!$A:$A)</f>
        <v>NO</v>
      </c>
      <c r="D432" s="5" t="s">
        <v>61</v>
      </c>
      <c r="E432" s="6">
        <v>2020</v>
      </c>
      <c r="F432" s="7" cm="1">
        <f t="array" ref="F432">_xlfn.XLOOKUP(D432&amp;E432,'[1]Viirs77-Sol'!$C$2:$C$694&amp;'[1]Viirs77-Sol'!$D$2:$D$694,'[1]Viirs77-Sol'!$E$2:$E$694)</f>
        <v>14182.523649999999</v>
      </c>
      <c r="G432" s="7" cm="1">
        <f t="array" ref="G432">_xlfn.XLOOKUP(B432&amp;E432,'[2]Viirs77-Mean'!$A$2:$A$694&amp;'[2]Viirs77-Mean'!$D$2:$D$694,'[2]Viirs77-Mean'!$E$2:$E$694)</f>
        <v>0.40939028399999999</v>
      </c>
      <c r="H432" s="9" cm="1">
        <f t="array" ref="H432">_xlfn.XLOOKUP(D432,cleanprovinces!$B$2:$B$78,_xlfn.XLOOKUP(panel!E432,cleanprovinces!$C$1:$AC$1,cleanprovinces!$C$2:$AC$78,"no",0,1))</f>
        <v>25737</v>
      </c>
      <c r="I432" s="4">
        <f t="shared" si="19"/>
        <v>25737000000</v>
      </c>
      <c r="J432" s="3" cm="1">
        <f t="array" ref="J432">_xlfn.XLOOKUP(D432,[3]Sheet1!$B$2:$B$78,_xlfn.XLOOKUP(E432,[3]Sheet1!$C$1:$AC$1,[3]Sheet1!$C$2:$AC$78))</f>
        <v>610</v>
      </c>
      <c r="K432" s="3">
        <f t="shared" si="18"/>
        <v>610000</v>
      </c>
      <c r="L432" s="3">
        <f t="shared" si="20"/>
        <v>42191.803278688523</v>
      </c>
      <c r="M432" s="10">
        <v>99.698506189744194</v>
      </c>
      <c r="N432" s="10">
        <v>17.247575558431901</v>
      </c>
    </row>
    <row r="433" spans="1:14" hidden="1" x14ac:dyDescent="0.3">
      <c r="A433" s="5">
        <v>7</v>
      </c>
      <c r="B433" s="5" t="str">
        <f>_xlfn.XLOOKUP(D433,'[1]Viirs77-Sol'!$C$2:$C$694,'[1]Viirs77-Sol'!$A$2:$A$694)</f>
        <v>TH-64</v>
      </c>
      <c r="C433" s="5" t="str">
        <f>_xlfn.XLOOKUP(D433,cleanprovinces!$B:$B,cleanprovinces!$A:$A)</f>
        <v>NO</v>
      </c>
      <c r="D433" s="5" t="s">
        <v>61</v>
      </c>
      <c r="E433" s="6">
        <v>2021</v>
      </c>
      <c r="F433" s="7" cm="1">
        <f t="array" ref="F433">_xlfn.XLOOKUP(D433&amp;E433,'[1]Viirs77-Sol'!$C$2:$C$694&amp;'[1]Viirs77-Sol'!$D$2:$D$694,'[1]Viirs77-Sol'!$E$2:$E$694)</f>
        <v>17131.654429999999</v>
      </c>
      <c r="G433" s="7" cm="1">
        <f t="array" ref="G433">_xlfn.XLOOKUP(B433&amp;E433,'[2]Viirs77-Mean'!$A$2:$A$694&amp;'[2]Viirs77-Mean'!$D$2:$D$694,'[2]Viirs77-Mean'!$E$2:$E$694)</f>
        <v>0.49451938499999998</v>
      </c>
      <c r="H433" s="9" cm="1">
        <f t="array" ref="H433">_xlfn.XLOOKUP(D433,cleanprovinces!$B$2:$B$78,_xlfn.XLOOKUP(panel!E433,cleanprovinces!$C$1:$AC$1,cleanprovinces!$C$2:$AC$78,"no",0,1))</f>
        <v>25928</v>
      </c>
      <c r="I433" s="4">
        <f t="shared" si="19"/>
        <v>25928000000</v>
      </c>
      <c r="J433" s="3" cm="1">
        <f t="array" ref="J433">_xlfn.XLOOKUP(D433,[3]Sheet1!$B$2:$B$78,_xlfn.XLOOKUP(E433,[3]Sheet1!$C$1:$AC$1,[3]Sheet1!$C$2:$AC$78))</f>
        <v>608</v>
      </c>
      <c r="K433" s="3">
        <f t="shared" si="18"/>
        <v>608000</v>
      </c>
      <c r="L433" s="3">
        <f t="shared" si="20"/>
        <v>42644.73684210526</v>
      </c>
      <c r="M433" s="10">
        <v>99.698506189744194</v>
      </c>
      <c r="N433" s="10">
        <v>17.247575558431901</v>
      </c>
    </row>
    <row r="434" spans="1:14" hidden="1" x14ac:dyDescent="0.3">
      <c r="A434" s="5">
        <v>26</v>
      </c>
      <c r="B434" s="5" t="str">
        <f>_xlfn.XLOOKUP(D434,'[1]Viirs77-Sol'!$C$2:$C$694,'[1]Viirs77-Sol'!$A$2:$A$694)</f>
        <v>TH-63</v>
      </c>
      <c r="C434" s="5" t="str">
        <f>_xlfn.XLOOKUP(D434,cleanprovinces!$B:$B,cleanprovinces!$A:$A)</f>
        <v>NO</v>
      </c>
      <c r="D434" s="5" t="s">
        <v>62</v>
      </c>
      <c r="E434" s="6">
        <v>2014</v>
      </c>
      <c r="F434" s="7" cm="1">
        <f t="array" ref="F434">_xlfn.XLOOKUP(D434&amp;E434,'[1]Viirs77-Sol'!$C$2:$C$694&amp;'[1]Viirs77-Sol'!$D$2:$D$694,'[1]Viirs77-Sol'!$E$2:$E$694)</f>
        <v>8080.4421300000004</v>
      </c>
      <c r="G434" s="7" cm="1">
        <f t="array" ref="G434">_xlfn.XLOOKUP(B434&amp;E434,'[2]Viirs77-Mean'!$A$2:$A$694&amp;'[2]Viirs77-Mean'!$D$2:$D$694,'[2]Viirs77-Mean'!$E$2:$E$694)</f>
        <v>0.103280787</v>
      </c>
      <c r="H434" s="9" cm="1">
        <f t="array" ref="H434">_xlfn.XLOOKUP(D434,cleanprovinces!$B$2:$B$78,_xlfn.XLOOKUP(panel!E434,cleanprovinces!$C$1:$AC$1,cleanprovinces!$C$2:$AC$78,"no",0,1))</f>
        <v>25591</v>
      </c>
      <c r="I434" s="4">
        <f t="shared" si="19"/>
        <v>25591000000</v>
      </c>
      <c r="J434" s="3" cm="1">
        <f t="array" ref="J434">_xlfn.XLOOKUP(D434,[3]Sheet1!$B$2:$B$78,_xlfn.XLOOKUP(E434,[3]Sheet1!$C$1:$AC$1,[3]Sheet1!$C$2:$AC$78))</f>
        <v>529</v>
      </c>
      <c r="K434" s="3">
        <f t="shared" si="18"/>
        <v>529000</v>
      </c>
      <c r="L434" s="3">
        <f t="shared" si="20"/>
        <v>48376.181474480152</v>
      </c>
      <c r="M434" s="10">
        <v>98.809114290894698</v>
      </c>
      <c r="N434" s="10">
        <v>16.6641770876439</v>
      </c>
    </row>
    <row r="435" spans="1:14" hidden="1" x14ac:dyDescent="0.3">
      <c r="A435" s="5">
        <v>26</v>
      </c>
      <c r="B435" s="5" t="str">
        <f>_xlfn.XLOOKUP(D435,'[1]Viirs77-Sol'!$C$2:$C$694,'[1]Viirs77-Sol'!$A$2:$A$694)</f>
        <v>TH-63</v>
      </c>
      <c r="C435" s="5" t="str">
        <f>_xlfn.XLOOKUP(D435,cleanprovinces!$B:$B,cleanprovinces!$A:$A)</f>
        <v>NO</v>
      </c>
      <c r="D435" s="5" t="s">
        <v>62</v>
      </c>
      <c r="E435" s="6">
        <v>2015</v>
      </c>
      <c r="F435" s="7" cm="1">
        <f t="array" ref="F435">_xlfn.XLOOKUP(D435&amp;E435,'[1]Viirs77-Sol'!$C$2:$C$694&amp;'[1]Viirs77-Sol'!$D$2:$D$694,'[1]Viirs77-Sol'!$E$2:$E$694)</f>
        <v>9485.4632930000007</v>
      </c>
      <c r="G435" s="7" cm="1">
        <f t="array" ref="G435">_xlfn.XLOOKUP(B435&amp;E435,'[2]Viirs77-Mean'!$A$2:$A$694&amp;'[2]Viirs77-Mean'!$D$2:$D$694,'[2]Viirs77-Mean'!$E$2:$E$694)</f>
        <v>0.12123917200000001</v>
      </c>
      <c r="H435" s="9" cm="1">
        <f t="array" ref="H435">_xlfn.XLOOKUP(D435,cleanprovinces!$B$2:$B$78,_xlfn.XLOOKUP(panel!E435,cleanprovinces!$C$1:$AC$1,cleanprovinces!$C$2:$AC$78,"no",0,1))</f>
        <v>26661</v>
      </c>
      <c r="I435" s="4">
        <f t="shared" si="19"/>
        <v>26661000000</v>
      </c>
      <c r="J435" s="3" cm="1">
        <f t="array" ref="J435">_xlfn.XLOOKUP(D435,[3]Sheet1!$B$2:$B$78,_xlfn.XLOOKUP(E435,[3]Sheet1!$C$1:$AC$1,[3]Sheet1!$C$2:$AC$78))</f>
        <v>530</v>
      </c>
      <c r="K435" s="3">
        <f t="shared" si="18"/>
        <v>530000</v>
      </c>
      <c r="L435" s="3">
        <f t="shared" si="20"/>
        <v>50303.773584905663</v>
      </c>
      <c r="M435" s="10">
        <v>98.809114290894698</v>
      </c>
      <c r="N435" s="10">
        <v>16.6641770876439</v>
      </c>
    </row>
    <row r="436" spans="1:14" hidden="1" x14ac:dyDescent="0.3">
      <c r="A436" s="5">
        <v>26</v>
      </c>
      <c r="B436" s="5" t="str">
        <f>_xlfn.XLOOKUP(D436,'[1]Viirs77-Sol'!$C$2:$C$694,'[1]Viirs77-Sol'!$A$2:$A$694)</f>
        <v>TH-63</v>
      </c>
      <c r="C436" s="5" t="str">
        <f>_xlfn.XLOOKUP(D436,cleanprovinces!$B:$B,cleanprovinces!$A:$A)</f>
        <v>NO</v>
      </c>
      <c r="D436" s="5" t="s">
        <v>62</v>
      </c>
      <c r="E436" s="6">
        <v>2016</v>
      </c>
      <c r="F436" s="7" cm="1">
        <f t="array" ref="F436">_xlfn.XLOOKUP(D436&amp;E436,'[1]Viirs77-Sol'!$C$2:$C$694&amp;'[1]Viirs77-Sol'!$D$2:$D$694,'[1]Viirs77-Sol'!$E$2:$E$694)</f>
        <v>9731.181423</v>
      </c>
      <c r="G436" s="7" cm="1">
        <f t="array" ref="G436">_xlfn.XLOOKUP(B436&amp;E436,'[2]Viirs77-Mean'!$A$2:$A$694&amp;'[2]Viirs77-Mean'!$D$2:$D$694,'[2]Viirs77-Mean'!$E$2:$E$694)</f>
        <v>0.12437983699999999</v>
      </c>
      <c r="H436" s="9" cm="1">
        <f t="array" ref="H436">_xlfn.XLOOKUP(D436,cleanprovinces!$B$2:$B$78,_xlfn.XLOOKUP(panel!E436,cleanprovinces!$C$1:$AC$1,cleanprovinces!$C$2:$AC$78,"no",0,1))</f>
        <v>26802</v>
      </c>
      <c r="I436" s="4">
        <f t="shared" si="19"/>
        <v>26802000000</v>
      </c>
      <c r="J436" s="3" cm="1">
        <f t="array" ref="J436">_xlfn.XLOOKUP(D436,[3]Sheet1!$B$2:$B$78,_xlfn.XLOOKUP(E436,[3]Sheet1!$C$1:$AC$1,[3]Sheet1!$C$2:$AC$78))</f>
        <v>531</v>
      </c>
      <c r="K436" s="3">
        <f t="shared" si="18"/>
        <v>531000</v>
      </c>
      <c r="L436" s="3">
        <f t="shared" si="20"/>
        <v>50474.576271186437</v>
      </c>
      <c r="M436" s="10">
        <v>98.809114290894698</v>
      </c>
      <c r="N436" s="10">
        <v>16.6641770876439</v>
      </c>
    </row>
    <row r="437" spans="1:14" hidden="1" x14ac:dyDescent="0.3">
      <c r="A437" s="5">
        <v>26</v>
      </c>
      <c r="B437" s="5" t="str">
        <f>_xlfn.XLOOKUP(D437,'[1]Viirs77-Sol'!$C$2:$C$694,'[1]Viirs77-Sol'!$A$2:$A$694)</f>
        <v>TH-63</v>
      </c>
      <c r="C437" s="5" t="str">
        <f>_xlfn.XLOOKUP(D437,cleanprovinces!$B:$B,cleanprovinces!$A:$A)</f>
        <v>NO</v>
      </c>
      <c r="D437" s="5" t="s">
        <v>62</v>
      </c>
      <c r="E437" s="6">
        <v>2017</v>
      </c>
      <c r="F437" s="7" cm="1">
        <f t="array" ref="F437">_xlfn.XLOOKUP(D437&amp;E437,'[1]Viirs77-Sol'!$C$2:$C$694&amp;'[1]Viirs77-Sol'!$D$2:$D$694,'[1]Viirs77-Sol'!$E$2:$E$694)</f>
        <v>12547.854090000001</v>
      </c>
      <c r="G437" s="7" cm="1">
        <f t="array" ref="G437">_xlfn.XLOOKUP(B437&amp;E437,'[2]Viirs77-Mean'!$A$2:$A$694&amp;'[2]Viirs77-Mean'!$D$2:$D$694,'[2]Viirs77-Mean'!$E$2:$E$694)</f>
        <v>0.160381354</v>
      </c>
      <c r="H437" s="9" cm="1">
        <f t="array" ref="H437">_xlfn.XLOOKUP(D437,cleanprovinces!$B$2:$B$78,_xlfn.XLOOKUP(panel!E437,cleanprovinces!$C$1:$AC$1,cleanprovinces!$C$2:$AC$78,"no",0,1))</f>
        <v>27083</v>
      </c>
      <c r="I437" s="4">
        <f t="shared" si="19"/>
        <v>27083000000</v>
      </c>
      <c r="J437" s="3" cm="1">
        <f t="array" ref="J437">_xlfn.XLOOKUP(D437,[3]Sheet1!$B$2:$B$78,_xlfn.XLOOKUP(E437,[3]Sheet1!$C$1:$AC$1,[3]Sheet1!$C$2:$AC$78))</f>
        <v>531</v>
      </c>
      <c r="K437" s="3">
        <f t="shared" si="18"/>
        <v>531000</v>
      </c>
      <c r="L437" s="3">
        <f t="shared" si="20"/>
        <v>51003.766478342746</v>
      </c>
      <c r="M437" s="10">
        <v>98.809114290894698</v>
      </c>
      <c r="N437" s="10">
        <v>16.6641770876439</v>
      </c>
    </row>
    <row r="438" spans="1:14" hidden="1" x14ac:dyDescent="0.3">
      <c r="A438" s="5">
        <v>26</v>
      </c>
      <c r="B438" s="5" t="str">
        <f>_xlfn.XLOOKUP(D438,'[1]Viirs77-Sol'!$C$2:$C$694,'[1]Viirs77-Sol'!$A$2:$A$694)</f>
        <v>TH-63</v>
      </c>
      <c r="C438" s="5" t="str">
        <f>_xlfn.XLOOKUP(D438,cleanprovinces!$B:$B,cleanprovinces!$A:$A)</f>
        <v>NO</v>
      </c>
      <c r="D438" s="5" t="s">
        <v>62</v>
      </c>
      <c r="E438" s="6">
        <v>2018</v>
      </c>
      <c r="F438" s="7" cm="1">
        <f t="array" ref="F438">_xlfn.XLOOKUP(D438&amp;E438,'[1]Viirs77-Sol'!$C$2:$C$694&amp;'[1]Viirs77-Sol'!$D$2:$D$694,'[1]Viirs77-Sol'!$E$2:$E$694)</f>
        <v>14196.988960000001</v>
      </c>
      <c r="G438" s="7" cm="1">
        <f t="array" ref="G438">_xlfn.XLOOKUP(B438&amp;E438,'[2]Viirs77-Mean'!$A$2:$A$694&amp;'[2]Viirs77-Mean'!$D$2:$D$694,'[2]Viirs77-Mean'!$E$2:$E$694)</f>
        <v>0.18145989700000001</v>
      </c>
      <c r="H438" s="9" cm="1">
        <f t="array" ref="H438">_xlfn.XLOOKUP(D438,cleanprovinces!$B$2:$B$78,_xlfn.XLOOKUP(panel!E438,cleanprovinces!$C$1:$AC$1,cleanprovinces!$C$2:$AC$78,"no",0,1))</f>
        <v>31468</v>
      </c>
      <c r="I438" s="4">
        <f t="shared" si="19"/>
        <v>31468000000</v>
      </c>
      <c r="J438" s="3" cm="1">
        <f t="array" ref="J438">_xlfn.XLOOKUP(D438,[3]Sheet1!$B$2:$B$78,_xlfn.XLOOKUP(E438,[3]Sheet1!$C$1:$AC$1,[3]Sheet1!$C$2:$AC$78))</f>
        <v>532</v>
      </c>
      <c r="K438" s="3">
        <f t="shared" si="18"/>
        <v>532000</v>
      </c>
      <c r="L438" s="3">
        <f t="shared" si="20"/>
        <v>59150.375939849626</v>
      </c>
      <c r="M438" s="10">
        <v>98.809114290894698</v>
      </c>
      <c r="N438" s="10">
        <v>16.6641770876439</v>
      </c>
    </row>
    <row r="439" spans="1:14" hidden="1" x14ac:dyDescent="0.3">
      <c r="A439" s="5">
        <v>26</v>
      </c>
      <c r="B439" s="5" t="str">
        <f>_xlfn.XLOOKUP(D439,'[1]Viirs77-Sol'!$C$2:$C$694,'[1]Viirs77-Sol'!$A$2:$A$694)</f>
        <v>TH-63</v>
      </c>
      <c r="C439" s="5" t="str">
        <f>_xlfn.XLOOKUP(D439,cleanprovinces!$B:$B,cleanprovinces!$A:$A)</f>
        <v>NO</v>
      </c>
      <c r="D439" s="5" t="s">
        <v>62</v>
      </c>
      <c r="E439" s="6">
        <v>2019</v>
      </c>
      <c r="F439" s="7" cm="1">
        <f t="array" ref="F439">_xlfn.XLOOKUP(D439&amp;E439,'[1]Viirs77-Sol'!$C$2:$C$694&amp;'[1]Viirs77-Sol'!$D$2:$D$694,'[1]Viirs77-Sol'!$E$2:$E$694)</f>
        <v>15574.063889999999</v>
      </c>
      <c r="G439" s="7" cm="1">
        <f t="array" ref="G439">_xlfn.XLOOKUP(B439&amp;E439,'[2]Viirs77-Mean'!$A$2:$A$694&amp;'[2]Viirs77-Mean'!$D$2:$D$694,'[2]Viirs77-Mean'!$E$2:$E$694)</f>
        <v>0.199061085</v>
      </c>
      <c r="H439" s="9" cm="1">
        <f t="array" ref="H439">_xlfn.XLOOKUP(D439,cleanprovinces!$B$2:$B$78,_xlfn.XLOOKUP(panel!E439,cleanprovinces!$C$1:$AC$1,cleanprovinces!$C$2:$AC$78,"no",0,1))</f>
        <v>35002</v>
      </c>
      <c r="I439" s="4">
        <f t="shared" si="19"/>
        <v>35002000000</v>
      </c>
      <c r="J439" s="3" cm="1">
        <f t="array" ref="J439">_xlfn.XLOOKUP(D439,[3]Sheet1!$B$2:$B$78,_xlfn.XLOOKUP(E439,[3]Sheet1!$C$1:$AC$1,[3]Sheet1!$C$2:$AC$78))</f>
        <v>534</v>
      </c>
      <c r="K439" s="3">
        <f t="shared" si="18"/>
        <v>534000</v>
      </c>
      <c r="L439" s="3">
        <f t="shared" si="20"/>
        <v>65546.816479400746</v>
      </c>
      <c r="M439" s="10">
        <v>98.809114290894698</v>
      </c>
      <c r="N439" s="10">
        <v>16.6641770876439</v>
      </c>
    </row>
    <row r="440" spans="1:14" hidden="1" x14ac:dyDescent="0.3">
      <c r="A440" s="5">
        <v>26</v>
      </c>
      <c r="B440" s="5" t="str">
        <f>_xlfn.XLOOKUP(D440,'[1]Viirs77-Sol'!$C$2:$C$694,'[1]Viirs77-Sol'!$A$2:$A$694)</f>
        <v>TH-63</v>
      </c>
      <c r="C440" s="5" t="str">
        <f>_xlfn.XLOOKUP(D440,cleanprovinces!$B:$B,cleanprovinces!$A:$A)</f>
        <v>NO</v>
      </c>
      <c r="D440" s="5" t="s">
        <v>62</v>
      </c>
      <c r="E440" s="6">
        <v>2020</v>
      </c>
      <c r="F440" s="7" cm="1">
        <f t="array" ref="F440">_xlfn.XLOOKUP(D440&amp;E440,'[1]Viirs77-Sol'!$C$2:$C$694&amp;'[1]Viirs77-Sol'!$D$2:$D$694,'[1]Viirs77-Sol'!$E$2:$E$694)</f>
        <v>17130.454020000001</v>
      </c>
      <c r="G440" s="7" cm="1">
        <f t="array" ref="G440">_xlfn.XLOOKUP(B440&amp;E440,'[2]Viirs77-Mean'!$A$2:$A$694&amp;'[2]Viirs77-Mean'!$D$2:$D$694,'[2]Viirs77-Mean'!$E$2:$E$694)</f>
        <v>0.21895420400000001</v>
      </c>
      <c r="H440" s="9" cm="1">
        <f t="array" ref="H440">_xlfn.XLOOKUP(D440,cleanprovinces!$B$2:$B$78,_xlfn.XLOOKUP(panel!E440,cleanprovinces!$C$1:$AC$1,cleanprovinces!$C$2:$AC$78,"no",0,1))</f>
        <v>32539</v>
      </c>
      <c r="I440" s="4">
        <f t="shared" si="19"/>
        <v>32539000000</v>
      </c>
      <c r="J440" s="3" cm="1">
        <f t="array" ref="J440">_xlfn.XLOOKUP(D440,[3]Sheet1!$B$2:$B$78,_xlfn.XLOOKUP(E440,[3]Sheet1!$C$1:$AC$1,[3]Sheet1!$C$2:$AC$78))</f>
        <v>535</v>
      </c>
      <c r="K440" s="3">
        <f t="shared" si="18"/>
        <v>535000</v>
      </c>
      <c r="L440" s="3">
        <f t="shared" si="20"/>
        <v>60820.560747663549</v>
      </c>
      <c r="M440" s="10">
        <v>98.809114290894698</v>
      </c>
      <c r="N440" s="10">
        <v>16.6641770876439</v>
      </c>
    </row>
    <row r="441" spans="1:14" hidden="1" x14ac:dyDescent="0.3">
      <c r="A441" s="5">
        <v>26</v>
      </c>
      <c r="B441" s="5" t="str">
        <f>_xlfn.XLOOKUP(D441,'[1]Viirs77-Sol'!$C$2:$C$694,'[1]Viirs77-Sol'!$A$2:$A$694)</f>
        <v>TH-63</v>
      </c>
      <c r="C441" s="5" t="str">
        <f>_xlfn.XLOOKUP(D441,cleanprovinces!$B:$B,cleanprovinces!$A:$A)</f>
        <v>NO</v>
      </c>
      <c r="D441" s="5" t="s">
        <v>62</v>
      </c>
      <c r="E441" s="6">
        <v>2021</v>
      </c>
      <c r="F441" s="7" cm="1">
        <f t="array" ref="F441">_xlfn.XLOOKUP(D441&amp;E441,'[1]Viirs77-Sol'!$C$2:$C$694&amp;'[1]Viirs77-Sol'!$D$2:$D$694,'[1]Viirs77-Sol'!$E$2:$E$694)</f>
        <v>18745.029289999999</v>
      </c>
      <c r="G441" s="7" cm="1">
        <f t="array" ref="G441">_xlfn.XLOOKUP(B441&amp;E441,'[2]Viirs77-Mean'!$A$2:$A$694&amp;'[2]Viirs77-Mean'!$D$2:$D$694,'[2]Viirs77-Mean'!$E$2:$E$694)</f>
        <v>0.23959102099999999</v>
      </c>
      <c r="H441" s="9" cm="1">
        <f t="array" ref="H441">_xlfn.XLOOKUP(D441,cleanprovinces!$B$2:$B$78,_xlfn.XLOOKUP(panel!E441,cleanprovinces!$C$1:$AC$1,cleanprovinces!$C$2:$AC$78,"no",0,1))</f>
        <v>31333</v>
      </c>
      <c r="I441" s="4">
        <f t="shared" si="19"/>
        <v>31333000000</v>
      </c>
      <c r="J441" s="3" cm="1">
        <f t="array" ref="J441">_xlfn.XLOOKUP(D441,[3]Sheet1!$B$2:$B$78,_xlfn.XLOOKUP(E441,[3]Sheet1!$C$1:$AC$1,[3]Sheet1!$C$2:$AC$78))</f>
        <v>536</v>
      </c>
      <c r="K441" s="3">
        <f t="shared" si="18"/>
        <v>536000</v>
      </c>
      <c r="L441" s="3">
        <f t="shared" si="20"/>
        <v>58457.089552238809</v>
      </c>
      <c r="M441" s="10">
        <v>98.809114290894698</v>
      </c>
      <c r="N441" s="10">
        <v>16.6641770876439</v>
      </c>
    </row>
    <row r="442" spans="1:14" hidden="1" x14ac:dyDescent="0.3">
      <c r="A442" s="5">
        <v>18</v>
      </c>
      <c r="B442" s="5" t="str">
        <f>_xlfn.XLOOKUP(D442,'[1]Viirs77-Sol'!$C$2:$C$694,'[1]Viirs77-Sol'!$A$2:$A$694)</f>
        <v>TH-61</v>
      </c>
      <c r="C442" s="5" t="str">
        <f>_xlfn.XLOOKUP(D442,cleanprovinces!$B:$B,cleanprovinces!$A:$A)</f>
        <v>NO</v>
      </c>
      <c r="D442" s="5" t="s">
        <v>60</v>
      </c>
      <c r="E442" s="6">
        <v>2014</v>
      </c>
      <c r="F442" s="7" cm="1">
        <f t="array" ref="F442">_xlfn.XLOOKUP(D442&amp;E442,'[1]Viirs77-Sol'!$C$2:$C$694&amp;'[1]Viirs77-Sol'!$D$2:$D$694,'[1]Viirs77-Sol'!$E$2:$E$694)</f>
        <v>5374.6382059999996</v>
      </c>
      <c r="G442" s="7" cm="1">
        <f t="array" ref="G442">_xlfn.XLOOKUP(B442&amp;E442,'[2]Viirs77-Mean'!$A$2:$A$694&amp;'[2]Viirs77-Mean'!$D$2:$D$694,'[2]Viirs77-Mean'!$E$2:$E$694)</f>
        <v>0.17061326099999999</v>
      </c>
      <c r="H442" s="9" cm="1">
        <f t="array" ref="H442">_xlfn.XLOOKUP(D442,cleanprovinces!$B$2:$B$78,_xlfn.XLOOKUP(panel!E442,cleanprovinces!$C$1:$AC$1,cleanprovinces!$C$2:$AC$78,"no",0,1))</f>
        <v>16234</v>
      </c>
      <c r="I442" s="4">
        <f t="shared" si="19"/>
        <v>16234000000</v>
      </c>
      <c r="J442" s="3" cm="1">
        <f t="array" ref="J442">_xlfn.XLOOKUP(D442,[3]Sheet1!$B$2:$B$78,_xlfn.XLOOKUP(E442,[3]Sheet1!$C$1:$AC$1,[3]Sheet1!$C$2:$AC$78))</f>
        <v>290</v>
      </c>
      <c r="K442" s="3">
        <f t="shared" si="18"/>
        <v>290000</v>
      </c>
      <c r="L442" s="3">
        <f t="shared" si="20"/>
        <v>55979.310344827587</v>
      </c>
      <c r="M442" s="10">
        <v>99.464795134005399</v>
      </c>
      <c r="N442" s="10">
        <v>15.3411879763995</v>
      </c>
    </row>
    <row r="443" spans="1:14" hidden="1" x14ac:dyDescent="0.3">
      <c r="A443" s="5">
        <v>18</v>
      </c>
      <c r="B443" s="5" t="str">
        <f>_xlfn.XLOOKUP(D443,'[1]Viirs77-Sol'!$C$2:$C$694,'[1]Viirs77-Sol'!$A$2:$A$694)</f>
        <v>TH-61</v>
      </c>
      <c r="C443" s="5" t="str">
        <f>_xlfn.XLOOKUP(D443,cleanprovinces!$B:$B,cleanprovinces!$A:$A)</f>
        <v>NO</v>
      </c>
      <c r="D443" s="5" t="s">
        <v>60</v>
      </c>
      <c r="E443" s="6">
        <v>2015</v>
      </c>
      <c r="F443" s="7" cm="1">
        <f t="array" ref="F443">_xlfn.XLOOKUP(D443&amp;E443,'[1]Viirs77-Sol'!$C$2:$C$694&amp;'[1]Viirs77-Sol'!$D$2:$D$694,'[1]Viirs77-Sol'!$E$2:$E$694)</f>
        <v>6226.4163909999997</v>
      </c>
      <c r="G443" s="7" cm="1">
        <f t="array" ref="G443">_xlfn.XLOOKUP(B443&amp;E443,'[2]Viirs77-Mean'!$A$2:$A$694&amp;'[2]Viirs77-Mean'!$D$2:$D$694,'[2]Viirs77-Mean'!$E$2:$E$694)</f>
        <v>0.19765222599999999</v>
      </c>
      <c r="H443" s="9" cm="1">
        <f t="array" ref="H443">_xlfn.XLOOKUP(D443,cleanprovinces!$B$2:$B$78,_xlfn.XLOOKUP(panel!E443,cleanprovinces!$C$1:$AC$1,cleanprovinces!$C$2:$AC$78,"no",0,1))</f>
        <v>15368</v>
      </c>
      <c r="I443" s="4">
        <f t="shared" si="19"/>
        <v>15368000000</v>
      </c>
      <c r="J443" s="3" cm="1">
        <f t="array" ref="J443">_xlfn.XLOOKUP(D443,[3]Sheet1!$B$2:$B$78,_xlfn.XLOOKUP(E443,[3]Sheet1!$C$1:$AC$1,[3]Sheet1!$C$2:$AC$78))</f>
        <v>288</v>
      </c>
      <c r="K443" s="3">
        <f t="shared" si="18"/>
        <v>288000</v>
      </c>
      <c r="L443" s="3">
        <f t="shared" si="20"/>
        <v>53361.111111111109</v>
      </c>
      <c r="M443" s="10">
        <v>99.464795134005399</v>
      </c>
      <c r="N443" s="10">
        <v>15.3411879763995</v>
      </c>
    </row>
    <row r="444" spans="1:14" hidden="1" x14ac:dyDescent="0.3">
      <c r="A444" s="5">
        <v>18</v>
      </c>
      <c r="B444" s="5" t="str">
        <f>_xlfn.XLOOKUP(D444,'[1]Viirs77-Sol'!$C$2:$C$694,'[1]Viirs77-Sol'!$A$2:$A$694)</f>
        <v>TH-61</v>
      </c>
      <c r="C444" s="5" t="str">
        <f>_xlfn.XLOOKUP(D444,cleanprovinces!$B:$B,cleanprovinces!$A:$A)</f>
        <v>NO</v>
      </c>
      <c r="D444" s="5" t="s">
        <v>60</v>
      </c>
      <c r="E444" s="6">
        <v>2016</v>
      </c>
      <c r="F444" s="7" cm="1">
        <f t="array" ref="F444">_xlfn.XLOOKUP(D444&amp;E444,'[1]Viirs77-Sol'!$C$2:$C$694&amp;'[1]Viirs77-Sol'!$D$2:$D$694,'[1]Viirs77-Sol'!$E$2:$E$694)</f>
        <v>6064.7106169999997</v>
      </c>
      <c r="G444" s="7" cm="1">
        <f t="array" ref="G444">_xlfn.XLOOKUP(B444&amp;E444,'[2]Viirs77-Mean'!$A$2:$A$694&amp;'[2]Viirs77-Mean'!$D$2:$D$694,'[2]Viirs77-Mean'!$E$2:$E$694)</f>
        <v>0.19251901499999999</v>
      </c>
      <c r="H444" s="9" cm="1">
        <f t="array" ref="H444">_xlfn.XLOOKUP(D444,cleanprovinces!$B$2:$B$78,_xlfn.XLOOKUP(panel!E444,cleanprovinces!$C$1:$AC$1,cleanprovinces!$C$2:$AC$78,"no",0,1))</f>
        <v>14804</v>
      </c>
      <c r="I444" s="4">
        <f t="shared" si="19"/>
        <v>14804000000</v>
      </c>
      <c r="J444" s="3" cm="1">
        <f t="array" ref="J444">_xlfn.XLOOKUP(D444,[3]Sheet1!$B$2:$B$78,_xlfn.XLOOKUP(E444,[3]Sheet1!$C$1:$AC$1,[3]Sheet1!$C$2:$AC$78))</f>
        <v>285</v>
      </c>
      <c r="K444" s="3">
        <f t="shared" si="18"/>
        <v>285000</v>
      </c>
      <c r="L444" s="3">
        <f t="shared" si="20"/>
        <v>51943.859649122809</v>
      </c>
      <c r="M444" s="10">
        <v>99.464795134005399</v>
      </c>
      <c r="N444" s="10">
        <v>15.3411879763995</v>
      </c>
    </row>
    <row r="445" spans="1:14" hidden="1" x14ac:dyDescent="0.3">
      <c r="A445" s="5">
        <v>18</v>
      </c>
      <c r="B445" s="5" t="str">
        <f>_xlfn.XLOOKUP(D445,'[1]Viirs77-Sol'!$C$2:$C$694,'[1]Viirs77-Sol'!$A$2:$A$694)</f>
        <v>TH-61</v>
      </c>
      <c r="C445" s="5" t="str">
        <f>_xlfn.XLOOKUP(D445,cleanprovinces!$B:$B,cleanprovinces!$A:$A)</f>
        <v>NO</v>
      </c>
      <c r="D445" s="5" t="s">
        <v>60</v>
      </c>
      <c r="E445" s="6">
        <v>2017</v>
      </c>
      <c r="F445" s="7" cm="1">
        <f t="array" ref="F445">_xlfn.XLOOKUP(D445&amp;E445,'[1]Viirs77-Sol'!$C$2:$C$694&amp;'[1]Viirs77-Sol'!$D$2:$D$694,'[1]Viirs77-Sol'!$E$2:$E$694)</f>
        <v>8085.7766709999996</v>
      </c>
      <c r="G445" s="7" cm="1">
        <f t="array" ref="G445">_xlfn.XLOOKUP(B445&amp;E445,'[2]Viirs77-Mean'!$A$2:$A$694&amp;'[2]Viirs77-Mean'!$D$2:$D$694,'[2]Viirs77-Mean'!$E$2:$E$694)</f>
        <v>0.25667601699999998</v>
      </c>
      <c r="H445" s="9" cm="1">
        <f t="array" ref="H445">_xlfn.XLOOKUP(D445,cleanprovinces!$B$2:$B$78,_xlfn.XLOOKUP(panel!E445,cleanprovinces!$C$1:$AC$1,cleanprovinces!$C$2:$AC$78,"no",0,1))</f>
        <v>15894</v>
      </c>
      <c r="I445" s="4">
        <f t="shared" si="19"/>
        <v>15894000000</v>
      </c>
      <c r="J445" s="3" cm="1">
        <f t="array" ref="J445">_xlfn.XLOOKUP(D445,[3]Sheet1!$B$2:$B$78,_xlfn.XLOOKUP(E445,[3]Sheet1!$C$1:$AC$1,[3]Sheet1!$C$2:$AC$78))</f>
        <v>283</v>
      </c>
      <c r="K445" s="3">
        <f t="shared" si="18"/>
        <v>283000</v>
      </c>
      <c r="L445" s="3">
        <f t="shared" si="20"/>
        <v>56162.544169611305</v>
      </c>
      <c r="M445" s="10">
        <v>99.464795134005399</v>
      </c>
      <c r="N445" s="10">
        <v>15.3411879763995</v>
      </c>
    </row>
    <row r="446" spans="1:14" hidden="1" x14ac:dyDescent="0.3">
      <c r="A446" s="5">
        <v>18</v>
      </c>
      <c r="B446" s="5" t="str">
        <f>_xlfn.XLOOKUP(D446,'[1]Viirs77-Sol'!$C$2:$C$694,'[1]Viirs77-Sol'!$A$2:$A$694)</f>
        <v>TH-61</v>
      </c>
      <c r="C446" s="5" t="str">
        <f>_xlfn.XLOOKUP(D446,cleanprovinces!$B:$B,cleanprovinces!$A:$A)</f>
        <v>NO</v>
      </c>
      <c r="D446" s="5" t="s">
        <v>60</v>
      </c>
      <c r="E446" s="6">
        <v>2018</v>
      </c>
      <c r="F446" s="7" cm="1">
        <f t="array" ref="F446">_xlfn.XLOOKUP(D446&amp;E446,'[1]Viirs77-Sol'!$C$2:$C$694&amp;'[1]Viirs77-Sol'!$D$2:$D$694,'[1]Viirs77-Sol'!$E$2:$E$694)</f>
        <v>8194.0603680000004</v>
      </c>
      <c r="G446" s="7" cm="1">
        <f t="array" ref="G446">_xlfn.XLOOKUP(B446&amp;E446,'[2]Viirs77-Mean'!$A$2:$A$694&amp;'[2]Viirs77-Mean'!$D$2:$D$694,'[2]Viirs77-Mean'!$E$2:$E$694)</f>
        <v>0.26011338899999997</v>
      </c>
      <c r="H446" s="9" cm="1">
        <f t="array" ref="H446">_xlfn.XLOOKUP(D446,cleanprovinces!$B$2:$B$78,_xlfn.XLOOKUP(panel!E446,cleanprovinces!$C$1:$AC$1,cleanprovinces!$C$2:$AC$78,"no",0,1))</f>
        <v>17562</v>
      </c>
      <c r="I446" s="4">
        <f t="shared" si="19"/>
        <v>17562000000</v>
      </c>
      <c r="J446" s="3" cm="1">
        <f t="array" ref="J446">_xlfn.XLOOKUP(D446,[3]Sheet1!$B$2:$B$78,_xlfn.XLOOKUP(E446,[3]Sheet1!$C$1:$AC$1,[3]Sheet1!$C$2:$AC$78))</f>
        <v>281</v>
      </c>
      <c r="K446" s="3">
        <f t="shared" si="18"/>
        <v>281000</v>
      </c>
      <c r="L446" s="3">
        <f t="shared" si="20"/>
        <v>62498.220640569394</v>
      </c>
      <c r="M446" s="10">
        <v>99.464795134005399</v>
      </c>
      <c r="N446" s="10">
        <v>15.3411879763995</v>
      </c>
    </row>
    <row r="447" spans="1:14" hidden="1" x14ac:dyDescent="0.3">
      <c r="A447" s="5">
        <v>18</v>
      </c>
      <c r="B447" s="5" t="str">
        <f>_xlfn.XLOOKUP(D447,'[1]Viirs77-Sol'!$C$2:$C$694,'[1]Viirs77-Sol'!$A$2:$A$694)</f>
        <v>TH-61</v>
      </c>
      <c r="C447" s="5" t="str">
        <f>_xlfn.XLOOKUP(D447,cleanprovinces!$B:$B,cleanprovinces!$A:$A)</f>
        <v>NO</v>
      </c>
      <c r="D447" s="5" t="s">
        <v>60</v>
      </c>
      <c r="E447" s="6">
        <v>2019</v>
      </c>
      <c r="F447" s="7" cm="1">
        <f t="array" ref="F447">_xlfn.XLOOKUP(D447&amp;E447,'[1]Viirs77-Sol'!$C$2:$C$694&amp;'[1]Viirs77-Sol'!$D$2:$D$694,'[1]Viirs77-Sol'!$E$2:$E$694)</f>
        <v>8604.7766539999993</v>
      </c>
      <c r="G447" s="7" cm="1">
        <f t="array" ref="G447">_xlfn.XLOOKUP(B447&amp;E447,'[2]Viirs77-Mean'!$A$2:$A$694&amp;'[2]Viirs77-Mean'!$D$2:$D$694,'[2]Viirs77-Mean'!$E$2:$E$694)</f>
        <v>0.27315122400000003</v>
      </c>
      <c r="H447" s="9" cm="1">
        <f t="array" ref="H447">_xlfn.XLOOKUP(D447,cleanprovinces!$B$2:$B$78,_xlfn.XLOOKUP(panel!E447,cleanprovinces!$C$1:$AC$1,cleanprovinces!$C$2:$AC$78,"no",0,1))</f>
        <v>15996</v>
      </c>
      <c r="I447" s="4">
        <f t="shared" si="19"/>
        <v>15996000000</v>
      </c>
      <c r="J447" s="3" cm="1">
        <f t="array" ref="J447">_xlfn.XLOOKUP(D447,[3]Sheet1!$B$2:$B$78,_xlfn.XLOOKUP(E447,[3]Sheet1!$C$1:$AC$1,[3]Sheet1!$C$2:$AC$78))</f>
        <v>279</v>
      </c>
      <c r="K447" s="3">
        <f t="shared" si="18"/>
        <v>279000</v>
      </c>
      <c r="L447" s="3">
        <f t="shared" si="20"/>
        <v>57333.333333333336</v>
      </c>
      <c r="M447" s="10">
        <v>99.464795134005399</v>
      </c>
      <c r="N447" s="10">
        <v>15.3411879763995</v>
      </c>
    </row>
    <row r="448" spans="1:14" hidden="1" x14ac:dyDescent="0.3">
      <c r="A448" s="5">
        <v>18</v>
      </c>
      <c r="B448" s="5" t="str">
        <f>_xlfn.XLOOKUP(D448,'[1]Viirs77-Sol'!$C$2:$C$694,'[1]Viirs77-Sol'!$A$2:$A$694)</f>
        <v>TH-61</v>
      </c>
      <c r="C448" s="5" t="str">
        <f>_xlfn.XLOOKUP(D448,cleanprovinces!$B:$B,cleanprovinces!$A:$A)</f>
        <v>NO</v>
      </c>
      <c r="D448" s="5" t="s">
        <v>60</v>
      </c>
      <c r="E448" s="6">
        <v>2020</v>
      </c>
      <c r="F448" s="7" cm="1">
        <f t="array" ref="F448">_xlfn.XLOOKUP(D448&amp;E448,'[1]Viirs77-Sol'!$C$2:$C$694&amp;'[1]Viirs77-Sol'!$D$2:$D$694,'[1]Viirs77-Sol'!$E$2:$E$694)</f>
        <v>9122.6411009999993</v>
      </c>
      <c r="G448" s="7" cm="1">
        <f t="array" ref="G448">_xlfn.XLOOKUP(B448&amp;E448,'[2]Viirs77-Mean'!$A$2:$A$694&amp;'[2]Viirs77-Mean'!$D$2:$D$694,'[2]Viirs77-Mean'!$E$2:$E$694)</f>
        <v>0.28959038500000001</v>
      </c>
      <c r="H448" s="9" cm="1">
        <f t="array" ref="H448">_xlfn.XLOOKUP(D448,cleanprovinces!$B$2:$B$78,_xlfn.XLOOKUP(panel!E448,cleanprovinces!$C$1:$AC$1,cleanprovinces!$C$2:$AC$78,"no",0,1))</f>
        <v>13828</v>
      </c>
      <c r="I448" s="4">
        <f t="shared" si="19"/>
        <v>13828000000</v>
      </c>
      <c r="J448" s="3" cm="1">
        <f t="array" ref="J448">_xlfn.XLOOKUP(D448,[3]Sheet1!$B$2:$B$78,_xlfn.XLOOKUP(E448,[3]Sheet1!$C$1:$AC$1,[3]Sheet1!$C$2:$AC$78))</f>
        <v>276</v>
      </c>
      <c r="K448" s="3">
        <f t="shared" si="18"/>
        <v>276000</v>
      </c>
      <c r="L448" s="3">
        <f t="shared" si="20"/>
        <v>50101.44927536232</v>
      </c>
      <c r="M448" s="10">
        <v>99.464795134005399</v>
      </c>
      <c r="N448" s="10">
        <v>15.3411879763995</v>
      </c>
    </row>
    <row r="449" spans="1:14" hidden="1" x14ac:dyDescent="0.3">
      <c r="A449" s="5">
        <v>18</v>
      </c>
      <c r="B449" s="5" t="str">
        <f>_xlfn.XLOOKUP(D449,'[1]Viirs77-Sol'!$C$2:$C$694,'[1]Viirs77-Sol'!$A$2:$A$694)</f>
        <v>TH-61</v>
      </c>
      <c r="C449" s="5" t="str">
        <f>_xlfn.XLOOKUP(D449,cleanprovinces!$B:$B,cleanprovinces!$A:$A)</f>
        <v>NO</v>
      </c>
      <c r="D449" s="5" t="s">
        <v>60</v>
      </c>
      <c r="E449" s="6">
        <v>2021</v>
      </c>
      <c r="F449" s="7" cm="1">
        <f t="array" ref="F449">_xlfn.XLOOKUP(D449&amp;E449,'[1]Viirs77-Sol'!$C$2:$C$694&amp;'[1]Viirs77-Sol'!$D$2:$D$694,'[1]Viirs77-Sol'!$E$2:$E$694)</f>
        <v>12842.98006</v>
      </c>
      <c r="G449" s="7" cm="1">
        <f t="array" ref="G449">_xlfn.XLOOKUP(B449&amp;E449,'[2]Viirs77-Mean'!$A$2:$A$694&amp;'[2]Viirs77-Mean'!$D$2:$D$694,'[2]Viirs77-Mean'!$E$2:$E$694)</f>
        <v>0.40768934099999998</v>
      </c>
      <c r="H449" s="9" cm="1">
        <f t="array" ref="H449">_xlfn.XLOOKUP(D449,cleanprovinces!$B$2:$B$78,_xlfn.XLOOKUP(panel!E449,cleanprovinces!$C$1:$AC$1,cleanprovinces!$C$2:$AC$78,"no",0,1))</f>
        <v>15295</v>
      </c>
      <c r="I449" s="4">
        <f t="shared" si="19"/>
        <v>15295000000</v>
      </c>
      <c r="J449" s="3" cm="1">
        <f t="array" ref="J449">_xlfn.XLOOKUP(D449,[3]Sheet1!$B$2:$B$78,_xlfn.XLOOKUP(E449,[3]Sheet1!$C$1:$AC$1,[3]Sheet1!$C$2:$AC$78))</f>
        <v>274</v>
      </c>
      <c r="K449" s="3">
        <f t="shared" si="18"/>
        <v>274000</v>
      </c>
      <c r="L449" s="3">
        <f t="shared" si="20"/>
        <v>55821.167883211681</v>
      </c>
      <c r="M449" s="10">
        <v>99.464795134005399</v>
      </c>
      <c r="N449" s="10">
        <v>15.3411879763995</v>
      </c>
    </row>
    <row r="450" spans="1:14" hidden="1" x14ac:dyDescent="0.3">
      <c r="A450" s="5">
        <v>34</v>
      </c>
      <c r="B450" s="5" t="str">
        <f>_xlfn.XLOOKUP(D450,'[1]Viirs77-Sol'!$C$2:$C$694,'[1]Viirs77-Sol'!$A$2:$A$694)</f>
        <v>TH-53</v>
      </c>
      <c r="C450" s="5" t="str">
        <f>_xlfn.XLOOKUP(D450,cleanprovinces!$B:$B,cleanprovinces!$A:$A)</f>
        <v>NO</v>
      </c>
      <c r="D450" s="5" t="s">
        <v>50</v>
      </c>
      <c r="E450" s="6">
        <v>2014</v>
      </c>
      <c r="F450" s="7" cm="1">
        <f t="array" ref="F450">_xlfn.XLOOKUP(D450&amp;E450,'[1]Viirs77-Sol'!$C$2:$C$694&amp;'[1]Viirs77-Sol'!$D$2:$D$694,'[1]Viirs77-Sol'!$E$2:$E$694)</f>
        <v>6709.2559769999998</v>
      </c>
      <c r="G450" s="7" cm="1">
        <f t="array" ref="G450">_xlfn.XLOOKUP(B450&amp;E450,'[2]Viirs77-Mean'!$A$2:$A$694&amp;'[2]Viirs77-Mean'!$D$2:$D$694,'[2]Viirs77-Mean'!$E$2:$E$694)</f>
        <v>0.17644665300000001</v>
      </c>
      <c r="H450" s="9" cm="1">
        <f t="array" ref="H450">_xlfn.XLOOKUP(D450,cleanprovinces!$B$2:$B$78,_xlfn.XLOOKUP(panel!E450,cleanprovinces!$C$1:$AC$1,cleanprovinces!$C$2:$AC$78,"no",0,1))</f>
        <v>20059</v>
      </c>
      <c r="I450" s="4">
        <f t="shared" si="19"/>
        <v>20059000000</v>
      </c>
      <c r="J450" s="3" cm="1">
        <f t="array" ref="J450">_xlfn.XLOOKUP(D450,[3]Sheet1!$B$2:$B$78,_xlfn.XLOOKUP(E450,[3]Sheet1!$C$1:$AC$1,[3]Sheet1!$C$2:$AC$78))</f>
        <v>429</v>
      </c>
      <c r="K450" s="3">
        <f t="shared" ref="K450:K513" si="21">J450*1000</f>
        <v>429000</v>
      </c>
      <c r="L450" s="3">
        <f t="shared" si="20"/>
        <v>46757.57575757576</v>
      </c>
      <c r="M450" s="10">
        <v>100.52181037876601</v>
      </c>
      <c r="N450" s="10">
        <v>17.7489231135308</v>
      </c>
    </row>
    <row r="451" spans="1:14" hidden="1" x14ac:dyDescent="0.3">
      <c r="A451" s="5">
        <v>34</v>
      </c>
      <c r="B451" s="5" t="str">
        <f>_xlfn.XLOOKUP(D451,'[1]Viirs77-Sol'!$C$2:$C$694,'[1]Viirs77-Sol'!$A$2:$A$694)</f>
        <v>TH-53</v>
      </c>
      <c r="C451" s="5" t="str">
        <f>_xlfn.XLOOKUP(D451,cleanprovinces!$B:$B,cleanprovinces!$A:$A)</f>
        <v>NO</v>
      </c>
      <c r="D451" s="5" t="s">
        <v>50</v>
      </c>
      <c r="E451" s="6">
        <v>2015</v>
      </c>
      <c r="F451" s="7" cm="1">
        <f t="array" ref="F451">_xlfn.XLOOKUP(D451&amp;E451,'[1]Viirs77-Sol'!$C$2:$C$694&amp;'[1]Viirs77-Sol'!$D$2:$D$694,'[1]Viirs77-Sol'!$E$2:$E$694)</f>
        <v>8194.9195990000007</v>
      </c>
      <c r="G451" s="7" cm="1">
        <f t="array" ref="G451">_xlfn.XLOOKUP(B451&amp;E451,'[2]Viirs77-Mean'!$A$2:$A$694&amp;'[2]Viirs77-Mean'!$D$2:$D$694,'[2]Viirs77-Mean'!$E$2:$E$694)</f>
        <v>0.21551810499999999</v>
      </c>
      <c r="H451" s="9" cm="1">
        <f t="array" ref="H451">_xlfn.XLOOKUP(D451,cleanprovinces!$B$2:$B$78,_xlfn.XLOOKUP(panel!E451,cleanprovinces!$C$1:$AC$1,cleanprovinces!$C$2:$AC$78,"no",0,1))</f>
        <v>18498</v>
      </c>
      <c r="I451" s="4">
        <f t="shared" ref="I451:I514" si="22">H451*1000000</f>
        <v>18498000000</v>
      </c>
      <c r="J451" s="3" cm="1">
        <f t="array" ref="J451">_xlfn.XLOOKUP(D451,[3]Sheet1!$B$2:$B$78,_xlfn.XLOOKUP(E451,[3]Sheet1!$C$1:$AC$1,[3]Sheet1!$C$2:$AC$78))</f>
        <v>427</v>
      </c>
      <c r="K451" s="3">
        <f t="shared" si="21"/>
        <v>427000</v>
      </c>
      <c r="L451" s="3">
        <f t="shared" ref="L451:L514" si="23">I451/K451</f>
        <v>43320.843091334893</v>
      </c>
      <c r="M451" s="10">
        <v>100.52181037876601</v>
      </c>
      <c r="N451" s="10">
        <v>17.7489231135308</v>
      </c>
    </row>
    <row r="452" spans="1:14" hidden="1" x14ac:dyDescent="0.3">
      <c r="A452" s="5">
        <v>34</v>
      </c>
      <c r="B452" s="5" t="str">
        <f>_xlfn.XLOOKUP(D452,'[1]Viirs77-Sol'!$C$2:$C$694,'[1]Viirs77-Sol'!$A$2:$A$694)</f>
        <v>TH-53</v>
      </c>
      <c r="C452" s="5" t="str">
        <f>_xlfn.XLOOKUP(D452,cleanprovinces!$B:$B,cleanprovinces!$A:$A)</f>
        <v>NO</v>
      </c>
      <c r="D452" s="5" t="s">
        <v>50</v>
      </c>
      <c r="E452" s="6">
        <v>2016</v>
      </c>
      <c r="F452" s="7" cm="1">
        <f t="array" ref="F452">_xlfn.XLOOKUP(D452&amp;E452,'[1]Viirs77-Sol'!$C$2:$C$694&amp;'[1]Viirs77-Sol'!$D$2:$D$694,'[1]Viirs77-Sol'!$E$2:$E$694)</f>
        <v>8175.1125869999996</v>
      </c>
      <c r="G452" s="7" cm="1">
        <f t="array" ref="G452">_xlfn.XLOOKUP(B452&amp;E452,'[2]Viirs77-Mean'!$A$2:$A$694&amp;'[2]Viirs77-Mean'!$D$2:$D$694,'[2]Viirs77-Mean'!$E$2:$E$694)</f>
        <v>0.214997201</v>
      </c>
      <c r="H452" s="9" cm="1">
        <f t="array" ref="H452">_xlfn.XLOOKUP(D452,cleanprovinces!$B$2:$B$78,_xlfn.XLOOKUP(panel!E452,cleanprovinces!$C$1:$AC$1,cleanprovinces!$C$2:$AC$78,"no",0,1))</f>
        <v>19012</v>
      </c>
      <c r="I452" s="4">
        <f t="shared" si="22"/>
        <v>19012000000</v>
      </c>
      <c r="J452" s="3" cm="1">
        <f t="array" ref="J452">_xlfn.XLOOKUP(D452,[3]Sheet1!$B$2:$B$78,_xlfn.XLOOKUP(E452,[3]Sheet1!$C$1:$AC$1,[3]Sheet1!$C$2:$AC$78))</f>
        <v>423</v>
      </c>
      <c r="K452" s="3">
        <f t="shared" si="21"/>
        <v>423000</v>
      </c>
      <c r="L452" s="3">
        <f t="shared" si="23"/>
        <v>44945.626477541373</v>
      </c>
      <c r="M452" s="10">
        <v>100.52181037876601</v>
      </c>
      <c r="N452" s="10">
        <v>17.7489231135308</v>
      </c>
    </row>
    <row r="453" spans="1:14" hidden="1" x14ac:dyDescent="0.3">
      <c r="A453" s="5">
        <v>34</v>
      </c>
      <c r="B453" s="5" t="str">
        <f>_xlfn.XLOOKUP(D453,'[1]Viirs77-Sol'!$C$2:$C$694,'[1]Viirs77-Sol'!$A$2:$A$694)</f>
        <v>TH-53</v>
      </c>
      <c r="C453" s="5" t="str">
        <f>_xlfn.XLOOKUP(D453,cleanprovinces!$B:$B,cleanprovinces!$A:$A)</f>
        <v>NO</v>
      </c>
      <c r="D453" s="5" t="s">
        <v>50</v>
      </c>
      <c r="E453" s="6">
        <v>2017</v>
      </c>
      <c r="F453" s="7" cm="1">
        <f t="array" ref="F453">_xlfn.XLOOKUP(D453&amp;E453,'[1]Viirs77-Sol'!$C$2:$C$694&amp;'[1]Viirs77-Sol'!$D$2:$D$694,'[1]Viirs77-Sol'!$E$2:$E$694)</f>
        <v>11013.53125</v>
      </c>
      <c r="G453" s="7" cm="1">
        <f t="array" ref="G453">_xlfn.XLOOKUP(B453&amp;E453,'[2]Viirs77-Mean'!$A$2:$A$694&amp;'[2]Viirs77-Mean'!$D$2:$D$694,'[2]Viirs77-Mean'!$E$2:$E$694)</f>
        <v>0.28964474400000001</v>
      </c>
      <c r="H453" s="9" cm="1">
        <f t="array" ref="H453">_xlfn.XLOOKUP(D453,cleanprovinces!$B$2:$B$78,_xlfn.XLOOKUP(panel!E453,cleanprovinces!$C$1:$AC$1,cleanprovinces!$C$2:$AC$78,"no",0,1))</f>
        <v>22653</v>
      </c>
      <c r="I453" s="4">
        <f t="shared" si="22"/>
        <v>22653000000</v>
      </c>
      <c r="J453" s="3" cm="1">
        <f t="array" ref="J453">_xlfn.XLOOKUP(D453,[3]Sheet1!$B$2:$B$78,_xlfn.XLOOKUP(E453,[3]Sheet1!$C$1:$AC$1,[3]Sheet1!$C$2:$AC$78))</f>
        <v>419</v>
      </c>
      <c r="K453" s="3">
        <f t="shared" si="21"/>
        <v>419000</v>
      </c>
      <c r="L453" s="3">
        <f t="shared" si="23"/>
        <v>54064.439140811453</v>
      </c>
      <c r="M453" s="10">
        <v>100.52181037876601</v>
      </c>
      <c r="N453" s="10">
        <v>17.7489231135308</v>
      </c>
    </row>
    <row r="454" spans="1:14" hidden="1" x14ac:dyDescent="0.3">
      <c r="A454" s="5">
        <v>34</v>
      </c>
      <c r="B454" s="5" t="str">
        <f>_xlfn.XLOOKUP(D454,'[1]Viirs77-Sol'!$C$2:$C$694,'[1]Viirs77-Sol'!$A$2:$A$694)</f>
        <v>TH-53</v>
      </c>
      <c r="C454" s="5" t="str">
        <f>_xlfn.XLOOKUP(D454,cleanprovinces!$B:$B,cleanprovinces!$A:$A)</f>
        <v>NO</v>
      </c>
      <c r="D454" s="5" t="s">
        <v>50</v>
      </c>
      <c r="E454" s="6">
        <v>2018</v>
      </c>
      <c r="F454" s="7" cm="1">
        <f t="array" ref="F454">_xlfn.XLOOKUP(D454&amp;E454,'[1]Viirs77-Sol'!$C$2:$C$694&amp;'[1]Viirs77-Sol'!$D$2:$D$694,'[1]Viirs77-Sol'!$E$2:$E$694)</f>
        <v>11028.269109999999</v>
      </c>
      <c r="G454" s="7" cm="1">
        <f t="array" ref="G454">_xlfn.XLOOKUP(B454&amp;E454,'[2]Viirs77-Mean'!$A$2:$A$694&amp;'[2]Viirs77-Mean'!$D$2:$D$694,'[2]Viirs77-Mean'!$E$2:$E$694)</f>
        <v>0.29003233499999997</v>
      </c>
      <c r="H454" s="9" cm="1">
        <f t="array" ref="H454">_xlfn.XLOOKUP(D454,cleanprovinces!$B$2:$B$78,_xlfn.XLOOKUP(panel!E454,cleanprovinces!$C$1:$AC$1,cleanprovinces!$C$2:$AC$78,"no",0,1))</f>
        <v>23394</v>
      </c>
      <c r="I454" s="4">
        <f t="shared" si="22"/>
        <v>23394000000</v>
      </c>
      <c r="J454" s="3" cm="1">
        <f t="array" ref="J454">_xlfn.XLOOKUP(D454,[3]Sheet1!$B$2:$B$78,_xlfn.XLOOKUP(E454,[3]Sheet1!$C$1:$AC$1,[3]Sheet1!$C$2:$AC$78))</f>
        <v>416</v>
      </c>
      <c r="K454" s="3">
        <f t="shared" si="21"/>
        <v>416000</v>
      </c>
      <c r="L454" s="3">
        <f t="shared" si="23"/>
        <v>56235.576923076922</v>
      </c>
      <c r="M454" s="10">
        <v>100.52181037876601</v>
      </c>
      <c r="N454" s="10">
        <v>17.7489231135308</v>
      </c>
    </row>
    <row r="455" spans="1:14" hidden="1" x14ac:dyDescent="0.3">
      <c r="A455" s="5">
        <v>34</v>
      </c>
      <c r="B455" s="5" t="str">
        <f>_xlfn.XLOOKUP(D455,'[1]Viirs77-Sol'!$C$2:$C$694,'[1]Viirs77-Sol'!$A$2:$A$694)</f>
        <v>TH-53</v>
      </c>
      <c r="C455" s="5" t="str">
        <f>_xlfn.XLOOKUP(D455,cleanprovinces!$B:$B,cleanprovinces!$A:$A)</f>
        <v>NO</v>
      </c>
      <c r="D455" s="5" t="s">
        <v>50</v>
      </c>
      <c r="E455" s="6">
        <v>2019</v>
      </c>
      <c r="F455" s="7" cm="1">
        <f t="array" ref="F455">_xlfn.XLOOKUP(D455&amp;E455,'[1]Viirs77-Sol'!$C$2:$C$694&amp;'[1]Viirs77-Sol'!$D$2:$D$694,'[1]Viirs77-Sol'!$E$2:$E$694)</f>
        <v>11942.41296</v>
      </c>
      <c r="G455" s="7" cm="1">
        <f t="array" ref="G455">_xlfn.XLOOKUP(B455&amp;E455,'[2]Viirs77-Mean'!$A$2:$A$694&amp;'[2]Viirs77-Mean'!$D$2:$D$694,'[2]Viirs77-Mean'!$E$2:$E$694)</f>
        <v>0.31407339400000001</v>
      </c>
      <c r="H455" s="9" cm="1">
        <f t="array" ref="H455">_xlfn.XLOOKUP(D455,cleanprovinces!$B$2:$B$78,_xlfn.XLOOKUP(panel!E455,cleanprovinces!$C$1:$AC$1,cleanprovinces!$C$2:$AC$78,"no",0,1))</f>
        <v>22151</v>
      </c>
      <c r="I455" s="4">
        <f t="shared" si="22"/>
        <v>22151000000</v>
      </c>
      <c r="J455" s="3" cm="1">
        <f t="array" ref="J455">_xlfn.XLOOKUP(D455,[3]Sheet1!$B$2:$B$78,_xlfn.XLOOKUP(E455,[3]Sheet1!$C$1:$AC$1,[3]Sheet1!$C$2:$AC$78))</f>
        <v>412</v>
      </c>
      <c r="K455" s="3">
        <f t="shared" si="21"/>
        <v>412000</v>
      </c>
      <c r="L455" s="3">
        <f t="shared" si="23"/>
        <v>53764.563106796115</v>
      </c>
      <c r="M455" s="10">
        <v>100.52181037876601</v>
      </c>
      <c r="N455" s="10">
        <v>17.7489231135308</v>
      </c>
    </row>
    <row r="456" spans="1:14" hidden="1" x14ac:dyDescent="0.3">
      <c r="A456" s="5">
        <v>34</v>
      </c>
      <c r="B456" s="5" t="str">
        <f>_xlfn.XLOOKUP(D456,'[1]Viirs77-Sol'!$C$2:$C$694,'[1]Viirs77-Sol'!$A$2:$A$694)</f>
        <v>TH-53</v>
      </c>
      <c r="C456" s="5" t="str">
        <f>_xlfn.XLOOKUP(D456,cleanprovinces!$B:$B,cleanprovinces!$A:$A)</f>
        <v>NO</v>
      </c>
      <c r="D456" s="5" t="s">
        <v>50</v>
      </c>
      <c r="E456" s="6">
        <v>2020</v>
      </c>
      <c r="F456" s="7" cm="1">
        <f t="array" ref="F456">_xlfn.XLOOKUP(D456&amp;E456,'[1]Viirs77-Sol'!$C$2:$C$694&amp;'[1]Viirs77-Sol'!$D$2:$D$694,'[1]Viirs77-Sol'!$E$2:$E$694)</f>
        <v>13117.589239999999</v>
      </c>
      <c r="G456" s="7" cm="1">
        <f t="array" ref="G456">_xlfn.XLOOKUP(B456&amp;E456,'[2]Viirs77-Mean'!$A$2:$A$694&amp;'[2]Viirs77-Mean'!$D$2:$D$694,'[2]Viirs77-Mean'!$E$2:$E$694)</f>
        <v>0.34497934299999999</v>
      </c>
      <c r="H456" s="9" cm="1">
        <f t="array" ref="H456">_xlfn.XLOOKUP(D456,cleanprovinces!$B$2:$B$78,_xlfn.XLOOKUP(panel!E456,cleanprovinces!$C$1:$AC$1,cleanprovinces!$C$2:$AC$78,"no",0,1))</f>
        <v>21164</v>
      </c>
      <c r="I456" s="4">
        <f t="shared" si="22"/>
        <v>21164000000</v>
      </c>
      <c r="J456" s="3" cm="1">
        <f t="array" ref="J456">_xlfn.XLOOKUP(D456,[3]Sheet1!$B$2:$B$78,_xlfn.XLOOKUP(E456,[3]Sheet1!$C$1:$AC$1,[3]Sheet1!$C$2:$AC$78))</f>
        <v>409</v>
      </c>
      <c r="K456" s="3">
        <f t="shared" si="21"/>
        <v>409000</v>
      </c>
      <c r="L456" s="3">
        <f t="shared" si="23"/>
        <v>51745.721271393646</v>
      </c>
      <c r="M456" s="10">
        <v>100.52181037876601</v>
      </c>
      <c r="N456" s="10">
        <v>17.7489231135308</v>
      </c>
    </row>
    <row r="457" spans="1:14" hidden="1" x14ac:dyDescent="0.3">
      <c r="A457" s="5">
        <v>34</v>
      </c>
      <c r="B457" s="5" t="str">
        <f>_xlfn.XLOOKUP(D457,'[1]Viirs77-Sol'!$C$2:$C$694,'[1]Viirs77-Sol'!$A$2:$A$694)</f>
        <v>TH-53</v>
      </c>
      <c r="C457" s="5" t="str">
        <f>_xlfn.XLOOKUP(D457,cleanprovinces!$B:$B,cleanprovinces!$A:$A)</f>
        <v>NO</v>
      </c>
      <c r="D457" s="5" t="s">
        <v>50</v>
      </c>
      <c r="E457" s="6">
        <v>2021</v>
      </c>
      <c r="F457" s="7" cm="1">
        <f t="array" ref="F457">_xlfn.XLOOKUP(D457&amp;E457,'[1]Viirs77-Sol'!$C$2:$C$694&amp;'[1]Viirs77-Sol'!$D$2:$D$694,'[1]Viirs77-Sol'!$E$2:$E$694)</f>
        <v>15820.19988</v>
      </c>
      <c r="G457" s="7" cm="1">
        <f t="array" ref="G457">_xlfn.XLOOKUP(B457&amp;E457,'[2]Viirs77-Mean'!$A$2:$A$694&amp;'[2]Viirs77-Mean'!$D$2:$D$694,'[2]Viirs77-Mean'!$E$2:$E$694)</f>
        <v>0.41605527199999998</v>
      </c>
      <c r="H457" s="9" cm="1">
        <f t="array" ref="H457">_xlfn.XLOOKUP(D457,cleanprovinces!$B$2:$B$78,_xlfn.XLOOKUP(panel!E457,cleanprovinces!$C$1:$AC$1,cleanprovinces!$C$2:$AC$78,"no",0,1))</f>
        <v>22141</v>
      </c>
      <c r="I457" s="4">
        <f t="shared" si="22"/>
        <v>22141000000</v>
      </c>
      <c r="J457" s="3" cm="1">
        <f t="array" ref="J457">_xlfn.XLOOKUP(D457,[3]Sheet1!$B$2:$B$78,_xlfn.XLOOKUP(E457,[3]Sheet1!$C$1:$AC$1,[3]Sheet1!$C$2:$AC$78))</f>
        <v>405</v>
      </c>
      <c r="K457" s="3">
        <f t="shared" si="21"/>
        <v>405000</v>
      </c>
      <c r="L457" s="3">
        <f t="shared" si="23"/>
        <v>54669.135802469136</v>
      </c>
      <c r="M457" s="10">
        <v>100.52181037876601</v>
      </c>
      <c r="N457" s="10">
        <v>17.7489231135308</v>
      </c>
    </row>
    <row r="458" spans="1:14" hidden="1" x14ac:dyDescent="0.3">
      <c r="A458" s="5">
        <v>19</v>
      </c>
      <c r="B458" s="5" t="str">
        <f>_xlfn.XLOOKUP(D458,'[1]Viirs77-Sol'!$C$2:$C$694,'[1]Viirs77-Sol'!$A$2:$A$694)</f>
        <v>TH-86</v>
      </c>
      <c r="C458" s="5" t="str">
        <f>_xlfn.XLOOKUP(D458,cleanprovinces!$B:$B,cleanprovinces!$A:$A)</f>
        <v>SO</v>
      </c>
      <c r="D458" s="5" t="s">
        <v>71</v>
      </c>
      <c r="E458" s="6">
        <v>2014</v>
      </c>
      <c r="F458" s="7" cm="1">
        <f t="array" ref="F458">_xlfn.XLOOKUP(D458&amp;E458,'[1]Viirs77-Sol'!$C$2:$C$694&amp;'[1]Viirs77-Sol'!$D$2:$D$694,'[1]Viirs77-Sol'!$E$2:$E$694)</f>
        <v>8742.3558099999991</v>
      </c>
      <c r="G458" s="7" cm="1">
        <f t="array" ref="G458">_xlfn.XLOOKUP(B458&amp;E458,'[2]Viirs77-Mean'!$A$2:$A$694&amp;'[2]Viirs77-Mean'!$D$2:$D$694,'[2]Viirs77-Mean'!$E$2:$E$694)</f>
        <v>0.318261299</v>
      </c>
      <c r="H458" s="9" cm="1">
        <f t="array" ref="H458">_xlfn.XLOOKUP(D458,cleanprovinces!$B$2:$B$78,_xlfn.XLOOKUP(panel!E458,cleanprovinces!$C$1:$AC$1,cleanprovinces!$C$2:$AC$78,"no",0,1))</f>
        <v>39993</v>
      </c>
      <c r="I458" s="4">
        <f t="shared" si="22"/>
        <v>39993000000</v>
      </c>
      <c r="J458" s="3" cm="1">
        <f t="array" ref="J458">_xlfn.XLOOKUP(D458,[3]Sheet1!$B$2:$B$78,_xlfn.XLOOKUP(E458,[3]Sheet1!$C$1:$AC$1,[3]Sheet1!$C$2:$AC$78))</f>
        <v>482</v>
      </c>
      <c r="K458" s="3">
        <f t="shared" si="21"/>
        <v>482000</v>
      </c>
      <c r="L458" s="3">
        <f t="shared" si="23"/>
        <v>82973.029045643154</v>
      </c>
      <c r="M458" s="10">
        <v>99.062292530960406</v>
      </c>
      <c r="N458" s="10">
        <v>10.354881895026001</v>
      </c>
    </row>
    <row r="459" spans="1:14" hidden="1" x14ac:dyDescent="0.3">
      <c r="A459" s="5">
        <v>19</v>
      </c>
      <c r="B459" s="5" t="str">
        <f>_xlfn.XLOOKUP(D459,'[1]Viirs77-Sol'!$C$2:$C$694,'[1]Viirs77-Sol'!$A$2:$A$694)</f>
        <v>TH-86</v>
      </c>
      <c r="C459" s="5" t="str">
        <f>_xlfn.XLOOKUP(D459,cleanprovinces!$B:$B,cleanprovinces!$A:$A)</f>
        <v>SO</v>
      </c>
      <c r="D459" s="5" t="s">
        <v>71</v>
      </c>
      <c r="E459" s="6">
        <v>2015</v>
      </c>
      <c r="F459" s="7" cm="1">
        <f t="array" ref="F459">_xlfn.XLOOKUP(D459&amp;E459,'[1]Viirs77-Sol'!$C$2:$C$694&amp;'[1]Viirs77-Sol'!$D$2:$D$694,'[1]Viirs77-Sol'!$E$2:$E$694)</f>
        <v>9053.5381120000002</v>
      </c>
      <c r="G459" s="7" cm="1">
        <f t="array" ref="G459">_xlfn.XLOOKUP(B459&amp;E459,'[2]Viirs77-Mean'!$A$2:$A$694&amp;'[2]Viirs77-Mean'!$D$2:$D$694,'[2]Viirs77-Mean'!$E$2:$E$694)</f>
        <v>0.32958974200000002</v>
      </c>
      <c r="H459" s="9" cm="1">
        <f t="array" ref="H459">_xlfn.XLOOKUP(D459,cleanprovinces!$B$2:$B$78,_xlfn.XLOOKUP(panel!E459,cleanprovinces!$C$1:$AC$1,cleanprovinces!$C$2:$AC$78,"no",0,1))</f>
        <v>38303</v>
      </c>
      <c r="I459" s="4">
        <f t="shared" si="22"/>
        <v>38303000000</v>
      </c>
      <c r="J459" s="3" cm="1">
        <f t="array" ref="J459">_xlfn.XLOOKUP(D459,[3]Sheet1!$B$2:$B$78,_xlfn.XLOOKUP(E459,[3]Sheet1!$C$1:$AC$1,[3]Sheet1!$C$2:$AC$78))</f>
        <v>486</v>
      </c>
      <c r="K459" s="3">
        <f t="shared" si="21"/>
        <v>486000</v>
      </c>
      <c r="L459" s="3">
        <f t="shared" si="23"/>
        <v>78812.757201646091</v>
      </c>
      <c r="M459" s="10">
        <v>99.062292530960406</v>
      </c>
      <c r="N459" s="10">
        <v>10.354881895026001</v>
      </c>
    </row>
    <row r="460" spans="1:14" hidden="1" x14ac:dyDescent="0.3">
      <c r="A460" s="5">
        <v>19</v>
      </c>
      <c r="B460" s="5" t="str">
        <f>_xlfn.XLOOKUP(D460,'[1]Viirs77-Sol'!$C$2:$C$694,'[1]Viirs77-Sol'!$A$2:$A$694)</f>
        <v>TH-86</v>
      </c>
      <c r="C460" s="5" t="str">
        <f>_xlfn.XLOOKUP(D460,cleanprovinces!$B:$B,cleanprovinces!$A:$A)</f>
        <v>SO</v>
      </c>
      <c r="D460" s="5" t="s">
        <v>71</v>
      </c>
      <c r="E460" s="6">
        <v>2016</v>
      </c>
      <c r="F460" s="7" cm="1">
        <f t="array" ref="F460">_xlfn.XLOOKUP(D460&amp;E460,'[1]Viirs77-Sol'!$C$2:$C$694&amp;'[1]Viirs77-Sol'!$D$2:$D$694,'[1]Viirs77-Sol'!$E$2:$E$694)</f>
        <v>9728.9338530000005</v>
      </c>
      <c r="G460" s="7" cm="1">
        <f t="array" ref="G460">_xlfn.XLOOKUP(B460&amp;E460,'[2]Viirs77-Mean'!$A$2:$A$694&amp;'[2]Viirs77-Mean'!$D$2:$D$694,'[2]Viirs77-Mean'!$E$2:$E$694)</f>
        <v>0.35417720200000002</v>
      </c>
      <c r="H460" s="9" cm="1">
        <f t="array" ref="H460">_xlfn.XLOOKUP(D460,cleanprovinces!$B$2:$B$78,_xlfn.XLOOKUP(panel!E460,cleanprovinces!$C$1:$AC$1,cleanprovinces!$C$2:$AC$78,"no",0,1))</f>
        <v>42793</v>
      </c>
      <c r="I460" s="4">
        <f t="shared" si="22"/>
        <v>42793000000</v>
      </c>
      <c r="J460" s="3" cm="1">
        <f t="array" ref="J460">_xlfn.XLOOKUP(D460,[3]Sheet1!$B$2:$B$78,_xlfn.XLOOKUP(E460,[3]Sheet1!$C$1:$AC$1,[3]Sheet1!$C$2:$AC$78))</f>
        <v>490</v>
      </c>
      <c r="K460" s="3">
        <f t="shared" si="21"/>
        <v>490000</v>
      </c>
      <c r="L460" s="3">
        <f t="shared" si="23"/>
        <v>87332.653061224497</v>
      </c>
      <c r="M460" s="10">
        <v>99.062292530960406</v>
      </c>
      <c r="N460" s="10">
        <v>10.354881895026001</v>
      </c>
    </row>
    <row r="461" spans="1:14" hidden="1" x14ac:dyDescent="0.3">
      <c r="A461" s="5">
        <v>19</v>
      </c>
      <c r="B461" s="5" t="str">
        <f>_xlfn.XLOOKUP(D461,'[1]Viirs77-Sol'!$C$2:$C$694,'[1]Viirs77-Sol'!$A$2:$A$694)</f>
        <v>TH-86</v>
      </c>
      <c r="C461" s="5" t="str">
        <f>_xlfn.XLOOKUP(D461,cleanprovinces!$B:$B,cleanprovinces!$A:$A)</f>
        <v>SO</v>
      </c>
      <c r="D461" s="5" t="s">
        <v>71</v>
      </c>
      <c r="E461" s="6">
        <v>2017</v>
      </c>
      <c r="F461" s="7" cm="1">
        <f t="array" ref="F461">_xlfn.XLOOKUP(D461&amp;E461,'[1]Viirs77-Sol'!$C$2:$C$694&amp;'[1]Viirs77-Sol'!$D$2:$D$694,'[1]Viirs77-Sol'!$E$2:$E$694)</f>
        <v>12082.66656</v>
      </c>
      <c r="G461" s="7" cm="1">
        <f t="array" ref="G461">_xlfn.XLOOKUP(B461&amp;E461,'[2]Viirs77-Mean'!$A$2:$A$694&amp;'[2]Viirs77-Mean'!$D$2:$D$694,'[2]Viirs77-Mean'!$E$2:$E$694)</f>
        <v>0.43986372000000001</v>
      </c>
      <c r="H461" s="9" cm="1">
        <f t="array" ref="H461">_xlfn.XLOOKUP(D461,cleanprovinces!$B$2:$B$78,_xlfn.XLOOKUP(panel!E461,cleanprovinces!$C$1:$AC$1,cleanprovinces!$C$2:$AC$78,"no",0,1))</f>
        <v>42370</v>
      </c>
      <c r="I461" s="4">
        <f t="shared" si="22"/>
        <v>42370000000</v>
      </c>
      <c r="J461" s="3" cm="1">
        <f t="array" ref="J461">_xlfn.XLOOKUP(D461,[3]Sheet1!$B$2:$B$78,_xlfn.XLOOKUP(E461,[3]Sheet1!$C$1:$AC$1,[3]Sheet1!$C$2:$AC$78))</f>
        <v>494</v>
      </c>
      <c r="K461" s="3">
        <f t="shared" si="21"/>
        <v>494000</v>
      </c>
      <c r="L461" s="3">
        <f t="shared" si="23"/>
        <v>85769.230769230766</v>
      </c>
      <c r="M461" s="10">
        <v>99.062292530960406</v>
      </c>
      <c r="N461" s="10">
        <v>10.354881895026001</v>
      </c>
    </row>
    <row r="462" spans="1:14" hidden="1" x14ac:dyDescent="0.3">
      <c r="A462" s="5">
        <v>19</v>
      </c>
      <c r="B462" s="5" t="str">
        <f>_xlfn.XLOOKUP(D462,'[1]Viirs77-Sol'!$C$2:$C$694,'[1]Viirs77-Sol'!$A$2:$A$694)</f>
        <v>TH-86</v>
      </c>
      <c r="C462" s="5" t="str">
        <f>_xlfn.XLOOKUP(D462,cleanprovinces!$B:$B,cleanprovinces!$A:$A)</f>
        <v>SO</v>
      </c>
      <c r="D462" s="5" t="s">
        <v>71</v>
      </c>
      <c r="E462" s="6">
        <v>2018</v>
      </c>
      <c r="F462" s="7" cm="1">
        <f t="array" ref="F462">_xlfn.XLOOKUP(D462&amp;E462,'[1]Viirs77-Sol'!$C$2:$C$694&amp;'[1]Viirs77-Sol'!$D$2:$D$694,'[1]Viirs77-Sol'!$E$2:$E$694)</f>
        <v>13130.98388</v>
      </c>
      <c r="G462" s="7" cm="1">
        <f t="array" ref="G462">_xlfn.XLOOKUP(B462&amp;E462,'[2]Viirs77-Mean'!$A$2:$A$694&amp;'[2]Viirs77-Mean'!$D$2:$D$694,'[2]Viirs77-Mean'!$E$2:$E$694)</f>
        <v>0.47802721300000001</v>
      </c>
      <c r="H462" s="9" cm="1">
        <f t="array" ref="H462">_xlfn.XLOOKUP(D462,cleanprovinces!$B$2:$B$78,_xlfn.XLOOKUP(panel!E462,cleanprovinces!$C$1:$AC$1,cleanprovinces!$C$2:$AC$78,"no",0,1))</f>
        <v>46234</v>
      </c>
      <c r="I462" s="4">
        <f t="shared" si="22"/>
        <v>46234000000</v>
      </c>
      <c r="J462" s="3" cm="1">
        <f t="array" ref="J462">_xlfn.XLOOKUP(D462,[3]Sheet1!$B$2:$B$78,_xlfn.XLOOKUP(E462,[3]Sheet1!$C$1:$AC$1,[3]Sheet1!$C$2:$AC$78))</f>
        <v>498</v>
      </c>
      <c r="K462" s="3">
        <f t="shared" si="21"/>
        <v>498000</v>
      </c>
      <c r="L462" s="3">
        <f t="shared" si="23"/>
        <v>92839.357429718875</v>
      </c>
      <c r="M462" s="10">
        <v>99.062292530960406</v>
      </c>
      <c r="N462" s="10">
        <v>10.354881895026001</v>
      </c>
    </row>
    <row r="463" spans="1:14" hidden="1" x14ac:dyDescent="0.3">
      <c r="A463" s="5">
        <v>19</v>
      </c>
      <c r="B463" s="5" t="str">
        <f>_xlfn.XLOOKUP(D463,'[1]Viirs77-Sol'!$C$2:$C$694,'[1]Viirs77-Sol'!$A$2:$A$694)</f>
        <v>TH-86</v>
      </c>
      <c r="C463" s="5" t="str">
        <f>_xlfn.XLOOKUP(D463,cleanprovinces!$B:$B,cleanprovinces!$A:$A)</f>
        <v>SO</v>
      </c>
      <c r="D463" s="5" t="s">
        <v>71</v>
      </c>
      <c r="E463" s="6">
        <v>2019</v>
      </c>
      <c r="F463" s="7" cm="1">
        <f t="array" ref="F463">_xlfn.XLOOKUP(D463&amp;E463,'[1]Viirs77-Sol'!$C$2:$C$694&amp;'[1]Viirs77-Sol'!$D$2:$D$694,'[1]Viirs77-Sol'!$E$2:$E$694)</f>
        <v>13343.557150000001</v>
      </c>
      <c r="G463" s="7" cm="1">
        <f t="array" ref="G463">_xlfn.XLOOKUP(B463&amp;E463,'[2]Viirs77-Mean'!$A$2:$A$694&amp;'[2]Viirs77-Mean'!$D$2:$D$694,'[2]Viirs77-Mean'!$E$2:$E$694)</f>
        <v>0.485765842</v>
      </c>
      <c r="H463" s="9" cm="1">
        <f t="array" ref="H463">_xlfn.XLOOKUP(D463,cleanprovinces!$B$2:$B$78,_xlfn.XLOOKUP(panel!E463,cleanprovinces!$C$1:$AC$1,cleanprovinces!$C$2:$AC$78,"no",0,1))</f>
        <v>55820</v>
      </c>
      <c r="I463" s="4">
        <f t="shared" si="22"/>
        <v>55820000000</v>
      </c>
      <c r="J463" s="3" cm="1">
        <f t="array" ref="J463">_xlfn.XLOOKUP(D463,[3]Sheet1!$B$2:$B$78,_xlfn.XLOOKUP(E463,[3]Sheet1!$C$1:$AC$1,[3]Sheet1!$C$2:$AC$78))</f>
        <v>499</v>
      </c>
      <c r="K463" s="3">
        <f t="shared" si="21"/>
        <v>499000</v>
      </c>
      <c r="L463" s="3">
        <f t="shared" si="23"/>
        <v>111863.72745490982</v>
      </c>
      <c r="M463" s="10">
        <v>99.062292530960406</v>
      </c>
      <c r="N463" s="10">
        <v>10.354881895026001</v>
      </c>
    </row>
    <row r="464" spans="1:14" hidden="1" x14ac:dyDescent="0.3">
      <c r="A464" s="5">
        <v>19</v>
      </c>
      <c r="B464" s="5" t="str">
        <f>_xlfn.XLOOKUP(D464,'[1]Viirs77-Sol'!$C$2:$C$694,'[1]Viirs77-Sol'!$A$2:$A$694)</f>
        <v>TH-86</v>
      </c>
      <c r="C464" s="5" t="str">
        <f>_xlfn.XLOOKUP(D464,cleanprovinces!$B:$B,cleanprovinces!$A:$A)</f>
        <v>SO</v>
      </c>
      <c r="D464" s="5" t="s">
        <v>71</v>
      </c>
      <c r="E464" s="6">
        <v>2020</v>
      </c>
      <c r="F464" s="7" cm="1">
        <f t="array" ref="F464">_xlfn.XLOOKUP(D464&amp;E464,'[1]Viirs77-Sol'!$C$2:$C$694&amp;'[1]Viirs77-Sol'!$D$2:$D$694,'[1]Viirs77-Sol'!$E$2:$E$694)</f>
        <v>14482.336719999999</v>
      </c>
      <c r="G464" s="7" cm="1">
        <f t="array" ref="G464">_xlfn.XLOOKUP(B464&amp;E464,'[2]Viirs77-Mean'!$A$2:$A$694&amp;'[2]Viirs77-Mean'!$D$2:$D$694,'[2]Viirs77-Mean'!$E$2:$E$694)</f>
        <v>0.52722256999999995</v>
      </c>
      <c r="H464" s="9" cm="1">
        <f t="array" ref="H464">_xlfn.XLOOKUP(D464,cleanprovinces!$B$2:$B$78,_xlfn.XLOOKUP(panel!E464,cleanprovinces!$C$1:$AC$1,cleanprovinces!$C$2:$AC$78,"no",0,1))</f>
        <v>57228</v>
      </c>
      <c r="I464" s="4">
        <f t="shared" si="22"/>
        <v>57228000000</v>
      </c>
      <c r="J464" s="3" cm="1">
        <f t="array" ref="J464">_xlfn.XLOOKUP(D464,[3]Sheet1!$B$2:$B$78,_xlfn.XLOOKUP(E464,[3]Sheet1!$C$1:$AC$1,[3]Sheet1!$C$2:$AC$78))</f>
        <v>500</v>
      </c>
      <c r="K464" s="3">
        <f t="shared" si="21"/>
        <v>500000</v>
      </c>
      <c r="L464" s="3">
        <f t="shared" si="23"/>
        <v>114456</v>
      </c>
      <c r="M464" s="10">
        <v>99.062292530960406</v>
      </c>
      <c r="N464" s="10">
        <v>10.354881895026001</v>
      </c>
    </row>
    <row r="465" spans="1:14" hidden="1" x14ac:dyDescent="0.3">
      <c r="A465" s="5">
        <v>19</v>
      </c>
      <c r="B465" s="5" t="str">
        <f>_xlfn.XLOOKUP(D465,'[1]Viirs77-Sol'!$C$2:$C$694,'[1]Viirs77-Sol'!$A$2:$A$694)</f>
        <v>TH-86</v>
      </c>
      <c r="C465" s="5" t="str">
        <f>_xlfn.XLOOKUP(D465,cleanprovinces!$B:$B,cleanprovinces!$A:$A)</f>
        <v>SO</v>
      </c>
      <c r="D465" s="5" t="s">
        <v>71</v>
      </c>
      <c r="E465" s="6">
        <v>2021</v>
      </c>
      <c r="F465" s="7" cm="1">
        <f t="array" ref="F465">_xlfn.XLOOKUP(D465&amp;E465,'[1]Viirs77-Sol'!$C$2:$C$694&amp;'[1]Viirs77-Sol'!$D$2:$D$694,'[1]Viirs77-Sol'!$E$2:$E$694)</f>
        <v>15968.94382</v>
      </c>
      <c r="G465" s="7" cm="1">
        <f t="array" ref="G465">_xlfn.XLOOKUP(B465&amp;E465,'[2]Viirs77-Mean'!$A$2:$A$694&amp;'[2]Viirs77-Mean'!$D$2:$D$694,'[2]Viirs77-Mean'!$E$2:$E$694)</f>
        <v>0.581341793</v>
      </c>
      <c r="H465" s="9" cm="1">
        <f t="array" ref="H465">_xlfn.XLOOKUP(D465,cleanprovinces!$B$2:$B$78,_xlfn.XLOOKUP(panel!E465,cleanprovinces!$C$1:$AC$1,cleanprovinces!$C$2:$AC$78,"no",0,1))</f>
        <v>57900</v>
      </c>
      <c r="I465" s="4">
        <f t="shared" si="22"/>
        <v>57900000000</v>
      </c>
      <c r="J465" s="3" cm="1">
        <f t="array" ref="J465">_xlfn.XLOOKUP(D465,[3]Sheet1!$B$2:$B$78,_xlfn.XLOOKUP(E465,[3]Sheet1!$C$1:$AC$1,[3]Sheet1!$C$2:$AC$78))</f>
        <v>501</v>
      </c>
      <c r="K465" s="3">
        <f t="shared" si="21"/>
        <v>501000</v>
      </c>
      <c r="L465" s="3">
        <f t="shared" si="23"/>
        <v>115568.86227544911</v>
      </c>
      <c r="M465" s="10">
        <v>99.062292530960406</v>
      </c>
      <c r="N465" s="10">
        <v>10.354881895026001</v>
      </c>
    </row>
    <row r="466" spans="1:14" hidden="1" x14ac:dyDescent="0.3">
      <c r="A466" s="5">
        <v>63</v>
      </c>
      <c r="B466" s="5" t="str">
        <f>_xlfn.XLOOKUP(D466,'[1]Viirs77-Sol'!$C$2:$C$694,'[1]Viirs77-Sol'!$A$2:$A$694)</f>
        <v>TH-81</v>
      </c>
      <c r="C466" s="5" t="str">
        <f>_xlfn.XLOOKUP(D466,cleanprovinces!$B:$B,cleanprovinces!$A:$A)</f>
        <v>SO</v>
      </c>
      <c r="D466" s="5" t="s">
        <v>70</v>
      </c>
      <c r="E466" s="6">
        <v>2014</v>
      </c>
      <c r="F466" s="7" cm="1">
        <f t="array" ref="F466">_xlfn.XLOOKUP(D466&amp;E466,'[1]Viirs77-Sol'!$C$2:$C$694&amp;'[1]Viirs77-Sol'!$D$2:$D$694,'[1]Viirs77-Sol'!$E$2:$E$694)</f>
        <v>7683.123423</v>
      </c>
      <c r="G466" s="7" cm="1">
        <f t="array" ref="G466">_xlfn.XLOOKUP(B466&amp;E466,'[2]Viirs77-Mean'!$A$2:$A$694&amp;'[2]Viirs77-Mean'!$D$2:$D$694,'[2]Viirs77-Mean'!$E$2:$E$694)</f>
        <v>0.37450510100000001</v>
      </c>
      <c r="H466" s="9" cm="1">
        <f t="array" ref="H466">_xlfn.XLOOKUP(D466,cleanprovinces!$B$2:$B$78,_xlfn.XLOOKUP(panel!E466,cleanprovinces!$C$1:$AC$1,cleanprovinces!$C$2:$AC$78,"no",0,1))</f>
        <v>48645</v>
      </c>
      <c r="I466" s="4">
        <f t="shared" si="22"/>
        <v>48645000000</v>
      </c>
      <c r="J466" s="3" cm="1">
        <f t="array" ref="J466">_xlfn.XLOOKUP(D466,[3]Sheet1!$B$2:$B$78,_xlfn.XLOOKUP(E466,[3]Sheet1!$C$1:$AC$1,[3]Sheet1!$C$2:$AC$78))</f>
        <v>395</v>
      </c>
      <c r="K466" s="3">
        <f t="shared" si="21"/>
        <v>395000</v>
      </c>
      <c r="L466" s="3">
        <f t="shared" si="23"/>
        <v>123151.89873417722</v>
      </c>
      <c r="M466" s="10">
        <v>99.015385236602299</v>
      </c>
      <c r="N466" s="10">
        <v>8.1339899650387508</v>
      </c>
    </row>
    <row r="467" spans="1:14" hidden="1" x14ac:dyDescent="0.3">
      <c r="A467" s="5">
        <v>63</v>
      </c>
      <c r="B467" s="5" t="str">
        <f>_xlfn.XLOOKUP(D467,'[1]Viirs77-Sol'!$C$2:$C$694,'[1]Viirs77-Sol'!$A$2:$A$694)</f>
        <v>TH-81</v>
      </c>
      <c r="C467" s="5" t="str">
        <f>_xlfn.XLOOKUP(D467,cleanprovinces!$B:$B,cleanprovinces!$A:$A)</f>
        <v>SO</v>
      </c>
      <c r="D467" s="5" t="s">
        <v>70</v>
      </c>
      <c r="E467" s="6">
        <v>2015</v>
      </c>
      <c r="F467" s="7" cm="1">
        <f t="array" ref="F467">_xlfn.XLOOKUP(D467&amp;E467,'[1]Viirs77-Sol'!$C$2:$C$694&amp;'[1]Viirs77-Sol'!$D$2:$D$694,'[1]Viirs77-Sol'!$E$2:$E$694)</f>
        <v>8017.7152180000003</v>
      </c>
      <c r="G467" s="7" cm="1">
        <f t="array" ref="G467">_xlfn.XLOOKUP(B467&amp;E467,'[2]Viirs77-Mean'!$A$2:$A$694&amp;'[2]Viirs77-Mean'!$D$2:$D$694,'[2]Viirs77-Mean'!$E$2:$E$694)</f>
        <v>0.39081439699999998</v>
      </c>
      <c r="H467" s="9" cm="1">
        <f t="array" ref="H467">_xlfn.XLOOKUP(D467,cleanprovinces!$B$2:$B$78,_xlfn.XLOOKUP(panel!E467,cleanprovinces!$C$1:$AC$1,cleanprovinces!$C$2:$AC$78,"no",0,1))</f>
        <v>48809</v>
      </c>
      <c r="I467" s="4">
        <f t="shared" si="22"/>
        <v>48809000000</v>
      </c>
      <c r="J467" s="3" cm="1">
        <f t="array" ref="J467">_xlfn.XLOOKUP(D467,[3]Sheet1!$B$2:$B$78,_xlfn.XLOOKUP(E467,[3]Sheet1!$C$1:$AC$1,[3]Sheet1!$C$2:$AC$78))</f>
        <v>403</v>
      </c>
      <c r="K467" s="3">
        <f t="shared" si="21"/>
        <v>403000</v>
      </c>
      <c r="L467" s="3">
        <f t="shared" si="23"/>
        <v>121114.14392059554</v>
      </c>
      <c r="M467" s="10">
        <v>99.015385236602299</v>
      </c>
      <c r="N467" s="10">
        <v>8.1339899650387508</v>
      </c>
    </row>
    <row r="468" spans="1:14" hidden="1" x14ac:dyDescent="0.3">
      <c r="A468" s="5">
        <v>63</v>
      </c>
      <c r="B468" s="5" t="str">
        <f>_xlfn.XLOOKUP(D468,'[1]Viirs77-Sol'!$C$2:$C$694,'[1]Viirs77-Sol'!$A$2:$A$694)</f>
        <v>TH-81</v>
      </c>
      <c r="C468" s="5" t="str">
        <f>_xlfn.XLOOKUP(D468,cleanprovinces!$B:$B,cleanprovinces!$A:$A)</f>
        <v>SO</v>
      </c>
      <c r="D468" s="5" t="s">
        <v>70</v>
      </c>
      <c r="E468" s="6">
        <v>2016</v>
      </c>
      <c r="F468" s="7" cm="1">
        <f t="array" ref="F468">_xlfn.XLOOKUP(D468&amp;E468,'[1]Viirs77-Sol'!$C$2:$C$694&amp;'[1]Viirs77-Sol'!$D$2:$D$694,'[1]Viirs77-Sol'!$E$2:$E$694)</f>
        <v>8612.1414960000002</v>
      </c>
      <c r="G468" s="7" cm="1">
        <f t="array" ref="G468">_xlfn.XLOOKUP(B468&amp;E468,'[2]Viirs77-Mean'!$A$2:$A$694&amp;'[2]Viirs77-Mean'!$D$2:$D$694,'[2]Viirs77-Mean'!$E$2:$E$694)</f>
        <v>0.41978902899999998</v>
      </c>
      <c r="H468" s="9" cm="1">
        <f t="array" ref="H468">_xlfn.XLOOKUP(D468,cleanprovinces!$B$2:$B$78,_xlfn.XLOOKUP(panel!E468,cleanprovinces!$C$1:$AC$1,cleanprovinces!$C$2:$AC$78,"no",0,1))</f>
        <v>49889</v>
      </c>
      <c r="I468" s="4">
        <f t="shared" si="22"/>
        <v>49889000000</v>
      </c>
      <c r="J468" s="3" cm="1">
        <f t="array" ref="J468">_xlfn.XLOOKUP(D468,[3]Sheet1!$B$2:$B$78,_xlfn.XLOOKUP(E468,[3]Sheet1!$C$1:$AC$1,[3]Sheet1!$C$2:$AC$78))</f>
        <v>410</v>
      </c>
      <c r="K468" s="3">
        <f t="shared" si="21"/>
        <v>410000</v>
      </c>
      <c r="L468" s="3">
        <f t="shared" si="23"/>
        <v>121680.48780487805</v>
      </c>
      <c r="M468" s="10">
        <v>99.015385236602299</v>
      </c>
      <c r="N468" s="10">
        <v>8.1339899650387508</v>
      </c>
    </row>
    <row r="469" spans="1:14" hidden="1" x14ac:dyDescent="0.3">
      <c r="A469" s="5">
        <v>63</v>
      </c>
      <c r="B469" s="5" t="str">
        <f>_xlfn.XLOOKUP(D469,'[1]Viirs77-Sol'!$C$2:$C$694,'[1]Viirs77-Sol'!$A$2:$A$694)</f>
        <v>TH-81</v>
      </c>
      <c r="C469" s="5" t="str">
        <f>_xlfn.XLOOKUP(D469,cleanprovinces!$B:$B,cleanprovinces!$A:$A)</f>
        <v>SO</v>
      </c>
      <c r="D469" s="5" t="s">
        <v>70</v>
      </c>
      <c r="E469" s="6">
        <v>2017</v>
      </c>
      <c r="F469" s="7" cm="1">
        <f t="array" ref="F469">_xlfn.XLOOKUP(D469&amp;E469,'[1]Viirs77-Sol'!$C$2:$C$694&amp;'[1]Viirs77-Sol'!$D$2:$D$694,'[1]Viirs77-Sol'!$E$2:$E$694)</f>
        <v>11439.885539999999</v>
      </c>
      <c r="G469" s="7" cm="1">
        <f t="array" ref="G469">_xlfn.XLOOKUP(B469&amp;E469,'[2]Viirs77-Mean'!$A$2:$A$694&amp;'[2]Viirs77-Mean'!$D$2:$D$694,'[2]Viirs77-Mean'!$E$2:$E$694)</f>
        <v>0.55762419200000002</v>
      </c>
      <c r="H469" s="9" cm="1">
        <f t="array" ref="H469">_xlfn.XLOOKUP(D469,cleanprovinces!$B$2:$B$78,_xlfn.XLOOKUP(panel!E469,cleanprovinces!$C$1:$AC$1,cleanprovinces!$C$2:$AC$78,"no",0,1))</f>
        <v>52357</v>
      </c>
      <c r="I469" s="4">
        <f t="shared" si="22"/>
        <v>52357000000</v>
      </c>
      <c r="J469" s="3" cm="1">
        <f t="array" ref="J469">_xlfn.XLOOKUP(D469,[3]Sheet1!$B$2:$B$78,_xlfn.XLOOKUP(E469,[3]Sheet1!$C$1:$AC$1,[3]Sheet1!$C$2:$AC$78))</f>
        <v>415</v>
      </c>
      <c r="K469" s="3">
        <f t="shared" si="21"/>
        <v>415000</v>
      </c>
      <c r="L469" s="3">
        <f t="shared" si="23"/>
        <v>126161.44578313253</v>
      </c>
      <c r="M469" s="10">
        <v>99.015385236602299</v>
      </c>
      <c r="N469" s="10">
        <v>8.1339899650387508</v>
      </c>
    </row>
    <row r="470" spans="1:14" hidden="1" x14ac:dyDescent="0.3">
      <c r="A470" s="5">
        <v>63</v>
      </c>
      <c r="B470" s="5" t="str">
        <f>_xlfn.XLOOKUP(D470,'[1]Viirs77-Sol'!$C$2:$C$694,'[1]Viirs77-Sol'!$A$2:$A$694)</f>
        <v>TH-81</v>
      </c>
      <c r="C470" s="5" t="str">
        <f>_xlfn.XLOOKUP(D470,cleanprovinces!$B:$B,cleanprovinces!$A:$A)</f>
        <v>SO</v>
      </c>
      <c r="D470" s="5" t="s">
        <v>70</v>
      </c>
      <c r="E470" s="6">
        <v>2018</v>
      </c>
      <c r="F470" s="7" cm="1">
        <f t="array" ref="F470">_xlfn.XLOOKUP(D470&amp;E470,'[1]Viirs77-Sol'!$C$2:$C$694&amp;'[1]Viirs77-Sol'!$D$2:$D$694,'[1]Viirs77-Sol'!$E$2:$E$694)</f>
        <v>11885.28775</v>
      </c>
      <c r="G470" s="7" cm="1">
        <f t="array" ref="G470">_xlfn.XLOOKUP(B470&amp;E470,'[2]Viirs77-Mean'!$A$2:$A$694&amp;'[2]Viirs77-Mean'!$D$2:$D$694,'[2]Viirs77-Mean'!$E$2:$E$694)</f>
        <v>0.57933481600000003</v>
      </c>
      <c r="H470" s="9" cm="1">
        <f t="array" ref="H470">_xlfn.XLOOKUP(D470,cleanprovinces!$B$2:$B$78,_xlfn.XLOOKUP(panel!E470,cleanprovinces!$C$1:$AC$1,cleanprovinces!$C$2:$AC$78,"no",0,1))</f>
        <v>52084</v>
      </c>
      <c r="I470" s="4">
        <f t="shared" si="22"/>
        <v>52084000000</v>
      </c>
      <c r="J470" s="3" cm="1">
        <f t="array" ref="J470">_xlfn.XLOOKUP(D470,[3]Sheet1!$B$2:$B$78,_xlfn.XLOOKUP(E470,[3]Sheet1!$C$1:$AC$1,[3]Sheet1!$C$2:$AC$78))</f>
        <v>418</v>
      </c>
      <c r="K470" s="3">
        <f t="shared" si="21"/>
        <v>418000</v>
      </c>
      <c r="L470" s="3">
        <f t="shared" si="23"/>
        <v>124602.87081339712</v>
      </c>
      <c r="M470" s="10">
        <v>99.015385236602299</v>
      </c>
      <c r="N470" s="10">
        <v>8.1339899650387508</v>
      </c>
    </row>
    <row r="471" spans="1:14" hidden="1" x14ac:dyDescent="0.3">
      <c r="A471" s="5">
        <v>63</v>
      </c>
      <c r="B471" s="5" t="str">
        <f>_xlfn.XLOOKUP(D471,'[1]Viirs77-Sol'!$C$2:$C$694,'[1]Viirs77-Sol'!$A$2:$A$694)</f>
        <v>TH-81</v>
      </c>
      <c r="C471" s="5" t="str">
        <f>_xlfn.XLOOKUP(D471,cleanprovinces!$B:$B,cleanprovinces!$A:$A)</f>
        <v>SO</v>
      </c>
      <c r="D471" s="5" t="s">
        <v>70</v>
      </c>
      <c r="E471" s="6">
        <v>2019</v>
      </c>
      <c r="F471" s="7" cm="1">
        <f t="array" ref="F471">_xlfn.XLOOKUP(D471&amp;E471,'[1]Viirs77-Sol'!$C$2:$C$694&amp;'[1]Viirs77-Sol'!$D$2:$D$694,'[1]Viirs77-Sol'!$E$2:$E$694)</f>
        <v>12759.907230000001</v>
      </c>
      <c r="G471" s="7" cm="1">
        <f t="array" ref="G471">_xlfn.XLOOKUP(B471&amp;E471,'[2]Viirs77-Mean'!$A$2:$A$694&amp;'[2]Viirs77-Mean'!$D$2:$D$694,'[2]Viirs77-Mean'!$E$2:$E$694)</f>
        <v>0.62196714600000003</v>
      </c>
      <c r="H471" s="9" cm="1">
        <f t="array" ref="H471">_xlfn.XLOOKUP(D471,cleanprovinces!$B$2:$B$78,_xlfn.XLOOKUP(panel!E471,cleanprovinces!$C$1:$AC$1,cleanprovinces!$C$2:$AC$78,"no",0,1))</f>
        <v>51572</v>
      </c>
      <c r="I471" s="4">
        <f t="shared" si="22"/>
        <v>51572000000</v>
      </c>
      <c r="J471" s="3" cm="1">
        <f t="array" ref="J471">_xlfn.XLOOKUP(D471,[3]Sheet1!$B$2:$B$78,_xlfn.XLOOKUP(E471,[3]Sheet1!$C$1:$AC$1,[3]Sheet1!$C$2:$AC$78))</f>
        <v>421</v>
      </c>
      <c r="K471" s="3">
        <f t="shared" si="21"/>
        <v>421000</v>
      </c>
      <c r="L471" s="3">
        <f t="shared" si="23"/>
        <v>122498.81235154394</v>
      </c>
      <c r="M471" s="10">
        <v>99.015385236602299</v>
      </c>
      <c r="N471" s="10">
        <v>8.1339899650387508</v>
      </c>
    </row>
    <row r="472" spans="1:14" hidden="1" x14ac:dyDescent="0.3">
      <c r="A472" s="5">
        <v>63</v>
      </c>
      <c r="B472" s="5" t="str">
        <f>_xlfn.XLOOKUP(D472,'[1]Viirs77-Sol'!$C$2:$C$694,'[1]Viirs77-Sol'!$A$2:$A$694)</f>
        <v>TH-81</v>
      </c>
      <c r="C472" s="5" t="str">
        <f>_xlfn.XLOOKUP(D472,cleanprovinces!$B:$B,cleanprovinces!$A:$A)</f>
        <v>SO</v>
      </c>
      <c r="D472" s="5" t="s">
        <v>70</v>
      </c>
      <c r="E472" s="6">
        <v>2020</v>
      </c>
      <c r="F472" s="7" cm="1">
        <f t="array" ref="F472">_xlfn.XLOOKUP(D472&amp;E472,'[1]Viirs77-Sol'!$C$2:$C$694&amp;'[1]Viirs77-Sol'!$D$2:$D$694,'[1]Viirs77-Sol'!$E$2:$E$694)</f>
        <v>14662.52175</v>
      </c>
      <c r="G472" s="7" cm="1">
        <f t="array" ref="G472">_xlfn.XLOOKUP(B472&amp;E472,'[2]Viirs77-Mean'!$A$2:$A$694&amp;'[2]Viirs77-Mean'!$D$2:$D$694,'[2]Viirs77-Mean'!$E$2:$E$694)</f>
        <v>0.71470792400000005</v>
      </c>
      <c r="H472" s="9" cm="1">
        <f t="array" ref="H472">_xlfn.XLOOKUP(D472,cleanprovinces!$B$2:$B$78,_xlfn.XLOOKUP(panel!E472,cleanprovinces!$C$1:$AC$1,cleanprovinces!$C$2:$AC$78,"no",0,1))</f>
        <v>41789</v>
      </c>
      <c r="I472" s="4">
        <f t="shared" si="22"/>
        <v>41789000000</v>
      </c>
      <c r="J472" s="3" cm="1">
        <f t="array" ref="J472">_xlfn.XLOOKUP(D472,[3]Sheet1!$B$2:$B$78,_xlfn.XLOOKUP(E472,[3]Sheet1!$C$1:$AC$1,[3]Sheet1!$C$2:$AC$78))</f>
        <v>424</v>
      </c>
      <c r="K472" s="3">
        <f t="shared" si="21"/>
        <v>424000</v>
      </c>
      <c r="L472" s="3">
        <f t="shared" si="23"/>
        <v>98558.962264150949</v>
      </c>
      <c r="M472" s="10">
        <v>99.015385236602299</v>
      </c>
      <c r="N472" s="10">
        <v>8.1339899650387508</v>
      </c>
    </row>
    <row r="473" spans="1:14" hidden="1" x14ac:dyDescent="0.3">
      <c r="A473" s="5">
        <v>63</v>
      </c>
      <c r="B473" s="5" t="str">
        <f>_xlfn.XLOOKUP(D473,'[1]Viirs77-Sol'!$C$2:$C$694,'[1]Viirs77-Sol'!$A$2:$A$694)</f>
        <v>TH-81</v>
      </c>
      <c r="C473" s="5" t="str">
        <f>_xlfn.XLOOKUP(D473,cleanprovinces!$B:$B,cleanprovinces!$A:$A)</f>
        <v>SO</v>
      </c>
      <c r="D473" s="5" t="s">
        <v>70</v>
      </c>
      <c r="E473" s="6">
        <v>2021</v>
      </c>
      <c r="F473" s="7" cm="1">
        <f t="array" ref="F473">_xlfn.XLOOKUP(D473&amp;E473,'[1]Viirs77-Sol'!$C$2:$C$694&amp;'[1]Viirs77-Sol'!$D$2:$D$694,'[1]Viirs77-Sol'!$E$2:$E$694)</f>
        <v>16023.19463</v>
      </c>
      <c r="G473" s="7" cm="1">
        <f t="array" ref="G473">_xlfn.XLOOKUP(B473&amp;E473,'[2]Viirs77-Mean'!$A$2:$A$694&amp;'[2]Viirs77-Mean'!$D$2:$D$694,'[2]Viirs77-Mean'!$E$2:$E$694)</f>
        <v>0.78103237400000003</v>
      </c>
      <c r="H473" s="9" cm="1">
        <f t="array" ref="H473">_xlfn.XLOOKUP(D473,cleanprovinces!$B$2:$B$78,_xlfn.XLOOKUP(panel!E473,cleanprovinces!$C$1:$AC$1,cleanprovinces!$C$2:$AC$78,"no",0,1))</f>
        <v>40557</v>
      </c>
      <c r="I473" s="4">
        <f t="shared" si="22"/>
        <v>40557000000</v>
      </c>
      <c r="J473" s="3" cm="1">
        <f t="array" ref="J473">_xlfn.XLOOKUP(D473,[3]Sheet1!$B$2:$B$78,_xlfn.XLOOKUP(E473,[3]Sheet1!$C$1:$AC$1,[3]Sheet1!$C$2:$AC$78))</f>
        <v>428</v>
      </c>
      <c r="K473" s="3">
        <f t="shared" si="21"/>
        <v>428000</v>
      </c>
      <c r="L473" s="3">
        <f t="shared" si="23"/>
        <v>94759.345794392517</v>
      </c>
      <c r="M473" s="10">
        <v>99.015385236602299</v>
      </c>
      <c r="N473" s="10">
        <v>8.1339899650387508</v>
      </c>
    </row>
    <row r="474" spans="1:14" hidden="1" x14ac:dyDescent="0.3">
      <c r="A474" s="5">
        <v>59</v>
      </c>
      <c r="B474" s="5" t="str">
        <f>_xlfn.XLOOKUP(D474,'[1]Viirs77-Sol'!$C$2:$C$694,'[1]Viirs77-Sol'!$A$2:$A$694)</f>
        <v>TH-80</v>
      </c>
      <c r="C474" s="5" t="str">
        <f>_xlfn.XLOOKUP(D474,cleanprovinces!$B:$B,cleanprovinces!$A:$A)</f>
        <v>SO</v>
      </c>
      <c r="D474" s="5" t="s">
        <v>72</v>
      </c>
      <c r="E474" s="6">
        <v>2014</v>
      </c>
      <c r="F474" s="7" cm="1">
        <f t="array" ref="F474">_xlfn.XLOOKUP(D474&amp;E474,'[1]Viirs77-Sol'!$C$2:$C$694&amp;'[1]Viirs77-Sol'!$D$2:$D$694,'[1]Viirs77-Sol'!$E$2:$E$694)</f>
        <v>19300.085899999998</v>
      </c>
      <c r="G474" s="7" cm="1">
        <f t="array" ref="G474">_xlfn.XLOOKUP(B474&amp;E474,'[2]Viirs77-Mean'!$A$2:$A$694&amp;'[2]Viirs77-Mean'!$D$2:$D$694,'[2]Viirs77-Mean'!$E$2:$E$694)</f>
        <v>0.40205890999999999</v>
      </c>
      <c r="H474" s="9" cm="1">
        <f t="array" ref="H474">_xlfn.XLOOKUP(D474,cleanprovinces!$B$2:$B$78,_xlfn.XLOOKUP(panel!E474,cleanprovinces!$C$1:$AC$1,cleanprovinces!$C$2:$AC$78,"no",0,1))</f>
        <v>90744</v>
      </c>
      <c r="I474" s="4">
        <f t="shared" si="22"/>
        <v>90744000000</v>
      </c>
      <c r="J474" s="3" cm="1">
        <f t="array" ref="J474">_xlfn.XLOOKUP(D474,[3]Sheet1!$B$2:$B$78,_xlfn.XLOOKUP(E474,[3]Sheet1!$C$1:$AC$1,[3]Sheet1!$C$2:$AC$78))</f>
        <v>1478</v>
      </c>
      <c r="K474" s="3">
        <f t="shared" si="21"/>
        <v>1478000</v>
      </c>
      <c r="L474" s="3">
        <f t="shared" si="23"/>
        <v>61396.481732070366</v>
      </c>
      <c r="M474" s="10">
        <v>99.775444103587503</v>
      </c>
      <c r="N474" s="10">
        <v>8.3684276181623094</v>
      </c>
    </row>
    <row r="475" spans="1:14" hidden="1" x14ac:dyDescent="0.3">
      <c r="A475" s="5">
        <v>59</v>
      </c>
      <c r="B475" s="5" t="str">
        <f>_xlfn.XLOOKUP(D475,'[1]Viirs77-Sol'!$C$2:$C$694,'[1]Viirs77-Sol'!$A$2:$A$694)</f>
        <v>TH-80</v>
      </c>
      <c r="C475" s="5" t="str">
        <f>_xlfn.XLOOKUP(D475,cleanprovinces!$B:$B,cleanprovinces!$A:$A)</f>
        <v>SO</v>
      </c>
      <c r="D475" s="5" t="s">
        <v>72</v>
      </c>
      <c r="E475" s="6">
        <v>2015</v>
      </c>
      <c r="F475" s="7" cm="1">
        <f t="array" ref="F475">_xlfn.XLOOKUP(D475&amp;E475,'[1]Viirs77-Sol'!$C$2:$C$694&amp;'[1]Viirs77-Sol'!$D$2:$D$694,'[1]Viirs77-Sol'!$E$2:$E$694)</f>
        <v>20227.205440000002</v>
      </c>
      <c r="G475" s="7" cm="1">
        <f t="array" ref="G475">_xlfn.XLOOKUP(B475&amp;E475,'[2]Viirs77-Mean'!$A$2:$A$694&amp;'[2]Viirs77-Mean'!$D$2:$D$694,'[2]Viirs77-Mean'!$E$2:$E$694)</f>
        <v>0.42137264200000002</v>
      </c>
      <c r="H475" s="9" cm="1">
        <f t="array" ref="H475">_xlfn.XLOOKUP(D475,cleanprovinces!$B$2:$B$78,_xlfn.XLOOKUP(panel!E475,cleanprovinces!$C$1:$AC$1,cleanprovinces!$C$2:$AC$78,"no",0,1))</f>
        <v>89873</v>
      </c>
      <c r="I475" s="4">
        <f t="shared" si="22"/>
        <v>89873000000</v>
      </c>
      <c r="J475" s="3" cm="1">
        <f t="array" ref="J475">_xlfn.XLOOKUP(D475,[3]Sheet1!$B$2:$B$78,_xlfn.XLOOKUP(E475,[3]Sheet1!$C$1:$AC$1,[3]Sheet1!$C$2:$AC$78))</f>
        <v>1485</v>
      </c>
      <c r="K475" s="3">
        <f t="shared" si="21"/>
        <v>1485000</v>
      </c>
      <c r="L475" s="3">
        <f t="shared" si="23"/>
        <v>60520.538720538723</v>
      </c>
      <c r="M475" s="10">
        <v>99.775444103587503</v>
      </c>
      <c r="N475" s="10">
        <v>8.3684276181623094</v>
      </c>
    </row>
    <row r="476" spans="1:14" hidden="1" x14ac:dyDescent="0.3">
      <c r="A476" s="5">
        <v>59</v>
      </c>
      <c r="B476" s="5" t="str">
        <f>_xlfn.XLOOKUP(D476,'[1]Viirs77-Sol'!$C$2:$C$694,'[1]Viirs77-Sol'!$A$2:$A$694)</f>
        <v>TH-80</v>
      </c>
      <c r="C476" s="5" t="str">
        <f>_xlfn.XLOOKUP(D476,cleanprovinces!$B:$B,cleanprovinces!$A:$A)</f>
        <v>SO</v>
      </c>
      <c r="D476" s="5" t="s">
        <v>72</v>
      </c>
      <c r="E476" s="6">
        <v>2016</v>
      </c>
      <c r="F476" s="7" cm="1">
        <f t="array" ref="F476">_xlfn.XLOOKUP(D476&amp;E476,'[1]Viirs77-Sol'!$C$2:$C$694&amp;'[1]Viirs77-Sol'!$D$2:$D$694,'[1]Viirs77-Sol'!$E$2:$E$694)</f>
        <v>21856.385620000001</v>
      </c>
      <c r="G476" s="7" cm="1">
        <f t="array" ref="G476">_xlfn.XLOOKUP(B476&amp;E476,'[2]Viirs77-Mean'!$A$2:$A$694&amp;'[2]Viirs77-Mean'!$D$2:$D$694,'[2]Viirs77-Mean'!$E$2:$E$694)</f>
        <v>0.45531168300000002</v>
      </c>
      <c r="H476" s="9" cm="1">
        <f t="array" ref="H476">_xlfn.XLOOKUP(D476,cleanprovinces!$B$2:$B$78,_xlfn.XLOOKUP(panel!E476,cleanprovinces!$C$1:$AC$1,cleanprovinces!$C$2:$AC$78,"no",0,1))</f>
        <v>91618</v>
      </c>
      <c r="I476" s="4">
        <f t="shared" si="22"/>
        <v>91618000000</v>
      </c>
      <c r="J476" s="3" cm="1">
        <f t="array" ref="J476">_xlfn.XLOOKUP(D476,[3]Sheet1!$B$2:$B$78,_xlfn.XLOOKUP(E476,[3]Sheet1!$C$1:$AC$1,[3]Sheet1!$C$2:$AC$78))</f>
        <v>1493</v>
      </c>
      <c r="K476" s="3">
        <f t="shared" si="21"/>
        <v>1493000</v>
      </c>
      <c r="L476" s="3">
        <f t="shared" si="23"/>
        <v>61365.036838580039</v>
      </c>
      <c r="M476" s="10">
        <v>99.775444103587503</v>
      </c>
      <c r="N476" s="10">
        <v>8.3684276181623094</v>
      </c>
    </row>
    <row r="477" spans="1:14" hidden="1" x14ac:dyDescent="0.3">
      <c r="A477" s="5">
        <v>59</v>
      </c>
      <c r="B477" s="5" t="str">
        <f>_xlfn.XLOOKUP(D477,'[1]Viirs77-Sol'!$C$2:$C$694,'[1]Viirs77-Sol'!$A$2:$A$694)</f>
        <v>TH-80</v>
      </c>
      <c r="C477" s="5" t="str">
        <f>_xlfn.XLOOKUP(D477,cleanprovinces!$B:$B,cleanprovinces!$A:$A)</f>
        <v>SO</v>
      </c>
      <c r="D477" s="5" t="s">
        <v>72</v>
      </c>
      <c r="E477" s="6">
        <v>2017</v>
      </c>
      <c r="F477" s="7" cm="1">
        <f t="array" ref="F477">_xlfn.XLOOKUP(D477&amp;E477,'[1]Viirs77-Sol'!$C$2:$C$694&amp;'[1]Viirs77-Sol'!$D$2:$D$694,'[1]Viirs77-Sol'!$E$2:$E$694)</f>
        <v>25175.738130000002</v>
      </c>
      <c r="G477" s="7" cm="1">
        <f t="array" ref="G477">_xlfn.XLOOKUP(B477&amp;E477,'[2]Viirs77-Mean'!$A$2:$A$694&amp;'[2]Viirs77-Mean'!$D$2:$D$694,'[2]Viirs77-Mean'!$E$2:$E$694)</f>
        <v>0.52446035199999996</v>
      </c>
      <c r="H477" s="9" cm="1">
        <f t="array" ref="H477">_xlfn.XLOOKUP(D477,cleanprovinces!$B$2:$B$78,_xlfn.XLOOKUP(panel!E477,cleanprovinces!$C$1:$AC$1,cleanprovinces!$C$2:$AC$78,"no",0,1))</f>
        <v>94349</v>
      </c>
      <c r="I477" s="4">
        <f t="shared" si="22"/>
        <v>94349000000</v>
      </c>
      <c r="J477" s="3" cm="1">
        <f t="array" ref="J477">_xlfn.XLOOKUP(D477,[3]Sheet1!$B$2:$B$78,_xlfn.XLOOKUP(E477,[3]Sheet1!$C$1:$AC$1,[3]Sheet1!$C$2:$AC$78))</f>
        <v>1500</v>
      </c>
      <c r="K477" s="3">
        <f t="shared" si="21"/>
        <v>1500000</v>
      </c>
      <c r="L477" s="3">
        <f t="shared" si="23"/>
        <v>62899.333333333336</v>
      </c>
      <c r="M477" s="10">
        <v>99.775444103587503</v>
      </c>
      <c r="N477" s="10">
        <v>8.3684276181623094</v>
      </c>
    </row>
    <row r="478" spans="1:14" hidden="1" x14ac:dyDescent="0.3">
      <c r="A478" s="5">
        <v>59</v>
      </c>
      <c r="B478" s="5" t="str">
        <f>_xlfn.XLOOKUP(D478,'[1]Viirs77-Sol'!$C$2:$C$694,'[1]Viirs77-Sol'!$A$2:$A$694)</f>
        <v>TH-80</v>
      </c>
      <c r="C478" s="5" t="str">
        <f>_xlfn.XLOOKUP(D478,cleanprovinces!$B:$B,cleanprovinces!$A:$A)</f>
        <v>SO</v>
      </c>
      <c r="D478" s="5" t="s">
        <v>72</v>
      </c>
      <c r="E478" s="6">
        <v>2018</v>
      </c>
      <c r="F478" s="7" cm="1">
        <f t="array" ref="F478">_xlfn.XLOOKUP(D478&amp;E478,'[1]Viirs77-Sol'!$C$2:$C$694&amp;'[1]Viirs77-Sol'!$D$2:$D$694,'[1]Viirs77-Sol'!$E$2:$E$694)</f>
        <v>26386.08223</v>
      </c>
      <c r="G478" s="7" cm="1">
        <f t="array" ref="G478">_xlfn.XLOOKUP(B478&amp;E478,'[2]Viirs77-Mean'!$A$2:$A$694&amp;'[2]Viirs77-Mean'!$D$2:$D$694,'[2]Viirs77-Mean'!$E$2:$E$694)</f>
        <v>0.54967421000000005</v>
      </c>
      <c r="H478" s="9" cm="1">
        <f t="array" ref="H478">_xlfn.XLOOKUP(D478,cleanprovinces!$B$2:$B$78,_xlfn.XLOOKUP(panel!E478,cleanprovinces!$C$1:$AC$1,cleanprovinces!$C$2:$AC$78,"no",0,1))</f>
        <v>96660</v>
      </c>
      <c r="I478" s="4">
        <f t="shared" si="22"/>
        <v>96660000000</v>
      </c>
      <c r="J478" s="3" cm="1">
        <f t="array" ref="J478">_xlfn.XLOOKUP(D478,[3]Sheet1!$B$2:$B$78,_xlfn.XLOOKUP(E478,[3]Sheet1!$C$1:$AC$1,[3]Sheet1!$C$2:$AC$78))</f>
        <v>1507</v>
      </c>
      <c r="K478" s="3">
        <f t="shared" si="21"/>
        <v>1507000</v>
      </c>
      <c r="L478" s="3">
        <f t="shared" si="23"/>
        <v>64140.67684140677</v>
      </c>
      <c r="M478" s="10">
        <v>99.775444103587503</v>
      </c>
      <c r="N478" s="10">
        <v>8.3684276181623094</v>
      </c>
    </row>
    <row r="479" spans="1:14" hidden="1" x14ac:dyDescent="0.3">
      <c r="A479" s="5">
        <v>59</v>
      </c>
      <c r="B479" s="5" t="str">
        <f>_xlfn.XLOOKUP(D479,'[1]Viirs77-Sol'!$C$2:$C$694,'[1]Viirs77-Sol'!$A$2:$A$694)</f>
        <v>TH-80</v>
      </c>
      <c r="C479" s="5" t="str">
        <f>_xlfn.XLOOKUP(D479,cleanprovinces!$B:$B,cleanprovinces!$A:$A)</f>
        <v>SO</v>
      </c>
      <c r="D479" s="5" t="s">
        <v>72</v>
      </c>
      <c r="E479" s="6">
        <v>2019</v>
      </c>
      <c r="F479" s="7" cm="1">
        <f t="array" ref="F479">_xlfn.XLOOKUP(D479&amp;E479,'[1]Viirs77-Sol'!$C$2:$C$694&amp;'[1]Viirs77-Sol'!$D$2:$D$694,'[1]Viirs77-Sol'!$E$2:$E$694)</f>
        <v>27200.42496</v>
      </c>
      <c r="G479" s="7" cm="1">
        <f t="array" ref="G479">_xlfn.XLOOKUP(B479&amp;E479,'[2]Viirs77-Mean'!$A$2:$A$694&amp;'[2]Viirs77-Mean'!$D$2:$D$694,'[2]Viirs77-Mean'!$E$2:$E$694)</f>
        <v>0.56663857699999998</v>
      </c>
      <c r="H479" s="9" cm="1">
        <f t="array" ref="H479">_xlfn.XLOOKUP(D479,cleanprovinces!$B$2:$B$78,_xlfn.XLOOKUP(panel!E479,cleanprovinces!$C$1:$AC$1,cleanprovinces!$C$2:$AC$78,"no",0,1))</f>
        <v>104614</v>
      </c>
      <c r="I479" s="4">
        <f t="shared" si="22"/>
        <v>104614000000</v>
      </c>
      <c r="J479" s="3" cm="1">
        <f t="array" ref="J479">_xlfn.XLOOKUP(D479,[3]Sheet1!$B$2:$B$78,_xlfn.XLOOKUP(E479,[3]Sheet1!$C$1:$AC$1,[3]Sheet1!$C$2:$AC$78))</f>
        <v>1511</v>
      </c>
      <c r="K479" s="3">
        <f t="shared" si="21"/>
        <v>1511000</v>
      </c>
      <c r="L479" s="3">
        <f t="shared" si="23"/>
        <v>69234.943745863668</v>
      </c>
      <c r="M479" s="10">
        <v>99.775444103587503</v>
      </c>
      <c r="N479" s="10">
        <v>8.3684276181623094</v>
      </c>
    </row>
    <row r="480" spans="1:14" hidden="1" x14ac:dyDescent="0.3">
      <c r="A480" s="5">
        <v>59</v>
      </c>
      <c r="B480" s="5" t="str">
        <f>_xlfn.XLOOKUP(D480,'[1]Viirs77-Sol'!$C$2:$C$694,'[1]Viirs77-Sol'!$A$2:$A$694)</f>
        <v>TH-80</v>
      </c>
      <c r="C480" s="5" t="str">
        <f>_xlfn.XLOOKUP(D480,cleanprovinces!$B:$B,cleanprovinces!$A:$A)</f>
        <v>SO</v>
      </c>
      <c r="D480" s="5" t="s">
        <v>72</v>
      </c>
      <c r="E480" s="6">
        <v>2020</v>
      </c>
      <c r="F480" s="7" cm="1">
        <f t="array" ref="F480">_xlfn.XLOOKUP(D480&amp;E480,'[1]Viirs77-Sol'!$C$2:$C$694&amp;'[1]Viirs77-Sol'!$D$2:$D$694,'[1]Viirs77-Sol'!$E$2:$E$694)</f>
        <v>28936.601650000001</v>
      </c>
      <c r="G480" s="7" cm="1">
        <f t="array" ref="G480">_xlfn.XLOOKUP(B480&amp;E480,'[2]Viirs77-Mean'!$A$2:$A$694&amp;'[2]Viirs77-Mean'!$D$2:$D$694,'[2]Viirs77-Mean'!$E$2:$E$694)</f>
        <v>0.60280656700000002</v>
      </c>
      <c r="H480" s="9" cm="1">
        <f t="array" ref="H480">_xlfn.XLOOKUP(D480,cleanprovinces!$B$2:$B$78,_xlfn.XLOOKUP(panel!E480,cleanprovinces!$C$1:$AC$1,cleanprovinces!$C$2:$AC$78,"no",0,1))</f>
        <v>104355</v>
      </c>
      <c r="I480" s="4">
        <f t="shared" si="22"/>
        <v>104355000000</v>
      </c>
      <c r="J480" s="3" cm="1">
        <f t="array" ref="J480">_xlfn.XLOOKUP(D480,[3]Sheet1!$B$2:$B$78,_xlfn.XLOOKUP(E480,[3]Sheet1!$C$1:$AC$1,[3]Sheet1!$C$2:$AC$78))</f>
        <v>1515</v>
      </c>
      <c r="K480" s="3">
        <f t="shared" si="21"/>
        <v>1515000</v>
      </c>
      <c r="L480" s="3">
        <f t="shared" si="23"/>
        <v>68881.188118811886</v>
      </c>
      <c r="M480" s="10">
        <v>99.775444103587503</v>
      </c>
      <c r="N480" s="10">
        <v>8.3684276181623094</v>
      </c>
    </row>
    <row r="481" spans="1:14" hidden="1" x14ac:dyDescent="0.3">
      <c r="A481" s="5">
        <v>59</v>
      </c>
      <c r="B481" s="5" t="str">
        <f>_xlfn.XLOOKUP(D481,'[1]Viirs77-Sol'!$C$2:$C$694,'[1]Viirs77-Sol'!$A$2:$A$694)</f>
        <v>TH-80</v>
      </c>
      <c r="C481" s="5" t="str">
        <f>_xlfn.XLOOKUP(D481,cleanprovinces!$B:$B,cleanprovinces!$A:$A)</f>
        <v>SO</v>
      </c>
      <c r="D481" s="5" t="s">
        <v>72</v>
      </c>
      <c r="E481" s="6">
        <v>2021</v>
      </c>
      <c r="F481" s="7" cm="1">
        <f t="array" ref="F481">_xlfn.XLOOKUP(D481&amp;E481,'[1]Viirs77-Sol'!$C$2:$C$694&amp;'[1]Viirs77-Sol'!$D$2:$D$694,'[1]Viirs77-Sol'!$E$2:$E$694)</f>
        <v>33354.75445</v>
      </c>
      <c r="G481" s="7" cm="1">
        <f t="array" ref="G481">_xlfn.XLOOKUP(B481&amp;E481,'[2]Viirs77-Mean'!$A$2:$A$694&amp;'[2]Viirs77-Mean'!$D$2:$D$694,'[2]Viirs77-Mean'!$E$2:$E$694)</f>
        <v>0.69484541600000005</v>
      </c>
      <c r="H481" s="9" cm="1">
        <f t="array" ref="H481">_xlfn.XLOOKUP(D481,cleanprovinces!$B$2:$B$78,_xlfn.XLOOKUP(panel!E481,cleanprovinces!$C$1:$AC$1,cleanprovinces!$C$2:$AC$78,"no",0,1))</f>
        <v>105744</v>
      </c>
      <c r="I481" s="4">
        <f t="shared" si="22"/>
        <v>105744000000</v>
      </c>
      <c r="J481" s="3" cm="1">
        <f t="array" ref="J481">_xlfn.XLOOKUP(D481,[3]Sheet1!$B$2:$B$78,_xlfn.XLOOKUP(E481,[3]Sheet1!$C$1:$AC$1,[3]Sheet1!$C$2:$AC$78))</f>
        <v>1519</v>
      </c>
      <c r="K481" s="3">
        <f t="shared" si="21"/>
        <v>1519000</v>
      </c>
      <c r="L481" s="3">
        <f t="shared" si="23"/>
        <v>69614.219881500991</v>
      </c>
      <c r="M481" s="10">
        <v>99.775444103587503</v>
      </c>
      <c r="N481" s="10">
        <v>8.3684276181623094</v>
      </c>
    </row>
    <row r="482" spans="1:14" hidden="1" x14ac:dyDescent="0.3">
      <c r="A482" s="5">
        <v>40</v>
      </c>
      <c r="B482" s="5" t="str">
        <f>_xlfn.XLOOKUP(D482,'[1]Viirs77-Sol'!$C$2:$C$694,'[1]Viirs77-Sol'!$A$2:$A$694)</f>
        <v>TH-96</v>
      </c>
      <c r="C482" s="5" t="str">
        <f>_xlfn.XLOOKUP(D482,cleanprovinces!$B:$B,cleanprovinces!$A:$A)</f>
        <v>SO</v>
      </c>
      <c r="D482" s="5" t="s">
        <v>77</v>
      </c>
      <c r="E482" s="6">
        <v>2014</v>
      </c>
      <c r="F482" s="7" cm="1">
        <f t="array" ref="F482">_xlfn.XLOOKUP(D482&amp;E482,'[1]Viirs77-Sol'!$C$2:$C$694&amp;'[1]Viirs77-Sol'!$D$2:$D$694,'[1]Viirs77-Sol'!$E$2:$E$694)</f>
        <v>9092.1381999999994</v>
      </c>
      <c r="G482" s="7" cm="1">
        <f t="array" ref="G482">_xlfn.XLOOKUP(B482&amp;E482,'[2]Viirs77-Mean'!$A$2:$A$694&amp;'[2]Viirs77-Mean'!$D$2:$D$694,'[2]Viirs77-Mean'!$E$2:$E$694)</f>
        <v>0.44016149999999998</v>
      </c>
      <c r="H482" s="9" cm="1">
        <f t="array" ref="H482">_xlfn.XLOOKUP(D482,cleanprovinces!$B$2:$B$78,_xlfn.XLOOKUP(panel!E482,cleanprovinces!$C$1:$AC$1,cleanprovinces!$C$2:$AC$78,"no",0,1))</f>
        <v>21331</v>
      </c>
      <c r="I482" s="4">
        <f t="shared" si="22"/>
        <v>21331000000</v>
      </c>
      <c r="J482" s="3" cm="1">
        <f t="array" ref="J482">_xlfn.XLOOKUP(D482,[3]Sheet1!$B$2:$B$78,_xlfn.XLOOKUP(E482,[3]Sheet1!$C$1:$AC$1,[3]Sheet1!$C$2:$AC$78))</f>
        <v>701</v>
      </c>
      <c r="K482" s="3">
        <f t="shared" si="21"/>
        <v>701000</v>
      </c>
      <c r="L482" s="3">
        <f t="shared" si="23"/>
        <v>30429.38659058488</v>
      </c>
      <c r="M482" s="10">
        <v>101.72448422598301</v>
      </c>
      <c r="N482" s="10">
        <v>6.1749724712444998</v>
      </c>
    </row>
    <row r="483" spans="1:14" hidden="1" x14ac:dyDescent="0.3">
      <c r="A483" s="5">
        <v>40</v>
      </c>
      <c r="B483" s="5" t="str">
        <f>_xlfn.XLOOKUP(D483,'[1]Viirs77-Sol'!$C$2:$C$694,'[1]Viirs77-Sol'!$A$2:$A$694)</f>
        <v>TH-96</v>
      </c>
      <c r="C483" s="5" t="str">
        <f>_xlfn.XLOOKUP(D483,cleanprovinces!$B:$B,cleanprovinces!$A:$A)</f>
        <v>SO</v>
      </c>
      <c r="D483" s="8" t="s">
        <v>77</v>
      </c>
      <c r="E483" s="6">
        <v>2015</v>
      </c>
      <c r="F483" s="7" cm="1">
        <f t="array" ref="F483">_xlfn.XLOOKUP(D483&amp;E483,'[1]Viirs77-Sol'!$C$2:$C$694&amp;'[1]Viirs77-Sol'!$D$2:$D$694,'[1]Viirs77-Sol'!$E$2:$E$694)</f>
        <v>9662.2779869999995</v>
      </c>
      <c r="G483" s="7" cm="1">
        <f t="array" ref="G483">_xlfn.XLOOKUP(B483&amp;E483,'[2]Viirs77-Mean'!$A$2:$A$694&amp;'[2]Viirs77-Mean'!$D$2:$D$694,'[2]Viirs77-Mean'!$E$2:$E$694)</f>
        <v>0.46776266300000002</v>
      </c>
      <c r="H483" s="9" cm="1">
        <f t="array" ref="H483">_xlfn.XLOOKUP(D483,cleanprovinces!$B$2:$B$78,_xlfn.XLOOKUP(panel!E483,cleanprovinces!$C$1:$AC$1,cleanprovinces!$C$2:$AC$78,"no",0,1))</f>
        <v>21079</v>
      </c>
      <c r="I483" s="4">
        <f t="shared" si="22"/>
        <v>21079000000</v>
      </c>
      <c r="J483" s="3" cm="1">
        <f t="array" ref="J483">_xlfn.XLOOKUP(D483,[3]Sheet1!$B$2:$B$78,_xlfn.XLOOKUP(E483,[3]Sheet1!$C$1:$AC$1,[3]Sheet1!$C$2:$AC$78))</f>
        <v>709</v>
      </c>
      <c r="K483" s="3">
        <f t="shared" si="21"/>
        <v>709000</v>
      </c>
      <c r="L483" s="3">
        <f t="shared" si="23"/>
        <v>29730.606488011283</v>
      </c>
      <c r="M483" s="10">
        <v>101.72448422598301</v>
      </c>
      <c r="N483" s="10">
        <v>6.1749724712444998</v>
      </c>
    </row>
    <row r="484" spans="1:14" hidden="1" x14ac:dyDescent="0.3">
      <c r="A484" s="5">
        <v>40</v>
      </c>
      <c r="B484" s="5" t="str">
        <f>_xlfn.XLOOKUP(D484,'[1]Viirs77-Sol'!$C$2:$C$694,'[1]Viirs77-Sol'!$A$2:$A$694)</f>
        <v>TH-96</v>
      </c>
      <c r="C484" s="5" t="str">
        <f>_xlfn.XLOOKUP(D484,cleanprovinces!$B:$B,cleanprovinces!$A:$A)</f>
        <v>SO</v>
      </c>
      <c r="D484" s="5" t="s">
        <v>77</v>
      </c>
      <c r="E484" s="6">
        <v>2016</v>
      </c>
      <c r="F484" s="7" cm="1">
        <f t="array" ref="F484">_xlfn.XLOOKUP(D484&amp;E484,'[1]Viirs77-Sol'!$C$2:$C$694&amp;'[1]Viirs77-Sol'!$D$2:$D$694,'[1]Viirs77-Sol'!$E$2:$E$694)</f>
        <v>10637.558929999999</v>
      </c>
      <c r="G484" s="7" cm="1">
        <f t="array" ref="G484">_xlfn.XLOOKUP(B484&amp;E484,'[2]Viirs77-Mean'!$A$2:$A$694&amp;'[2]Viirs77-Mean'!$D$2:$D$694,'[2]Viirs77-Mean'!$E$2:$E$694)</f>
        <v>0.51497720300000005</v>
      </c>
      <c r="H484" s="9" cm="1">
        <f t="array" ref="H484">_xlfn.XLOOKUP(D484,cleanprovinces!$B$2:$B$78,_xlfn.XLOOKUP(panel!E484,cleanprovinces!$C$1:$AC$1,cleanprovinces!$C$2:$AC$78,"no",0,1))</f>
        <v>21700</v>
      </c>
      <c r="I484" s="4">
        <f t="shared" si="22"/>
        <v>21700000000</v>
      </c>
      <c r="J484" s="3" cm="1">
        <f t="array" ref="J484">_xlfn.XLOOKUP(D484,[3]Sheet1!$B$2:$B$78,_xlfn.XLOOKUP(E484,[3]Sheet1!$C$1:$AC$1,[3]Sheet1!$C$2:$AC$78))</f>
        <v>714</v>
      </c>
      <c r="K484" s="3">
        <f t="shared" si="21"/>
        <v>714000</v>
      </c>
      <c r="L484" s="3">
        <f t="shared" si="23"/>
        <v>30392.156862745098</v>
      </c>
      <c r="M484" s="10">
        <v>101.72448422598301</v>
      </c>
      <c r="N484" s="10">
        <v>6.1749724712444998</v>
      </c>
    </row>
    <row r="485" spans="1:14" hidden="1" x14ac:dyDescent="0.3">
      <c r="A485" s="5">
        <v>40</v>
      </c>
      <c r="B485" s="5" t="str">
        <f>_xlfn.XLOOKUP(D485,'[1]Viirs77-Sol'!$C$2:$C$694,'[1]Viirs77-Sol'!$A$2:$A$694)</f>
        <v>TH-96</v>
      </c>
      <c r="C485" s="5" t="str">
        <f>_xlfn.XLOOKUP(D485,cleanprovinces!$B:$B,cleanprovinces!$A:$A)</f>
        <v>SO</v>
      </c>
      <c r="D485" s="5" t="s">
        <v>77</v>
      </c>
      <c r="E485" s="6">
        <v>2017</v>
      </c>
      <c r="F485" s="7" cm="1">
        <f t="array" ref="F485">_xlfn.XLOOKUP(D485&amp;E485,'[1]Viirs77-Sol'!$C$2:$C$694&amp;'[1]Viirs77-Sol'!$D$2:$D$694,'[1]Viirs77-Sol'!$E$2:$E$694)</f>
        <v>12173.467479999999</v>
      </c>
      <c r="G485" s="7" cm="1">
        <f t="array" ref="G485">_xlfn.XLOOKUP(B485&amp;E485,'[2]Viirs77-Mean'!$A$2:$A$694&amp;'[2]Viirs77-Mean'!$D$2:$D$694,'[2]Viirs77-Mean'!$E$2:$E$694)</f>
        <v>0.58933240899999995</v>
      </c>
      <c r="H485" s="9" cm="1">
        <f t="array" ref="H485">_xlfn.XLOOKUP(D485,cleanprovinces!$B$2:$B$78,_xlfn.XLOOKUP(panel!E485,cleanprovinces!$C$1:$AC$1,cleanprovinces!$C$2:$AC$78,"no",0,1))</f>
        <v>20357</v>
      </c>
      <c r="I485" s="4">
        <f t="shared" si="22"/>
        <v>20357000000</v>
      </c>
      <c r="J485" s="3" cm="1">
        <f t="array" ref="J485">_xlfn.XLOOKUP(D485,[3]Sheet1!$B$2:$B$78,_xlfn.XLOOKUP(E485,[3]Sheet1!$C$1:$AC$1,[3]Sheet1!$C$2:$AC$78))</f>
        <v>717</v>
      </c>
      <c r="K485" s="3">
        <f t="shared" si="21"/>
        <v>717000</v>
      </c>
      <c r="L485" s="3">
        <f t="shared" si="23"/>
        <v>28391.910739191073</v>
      </c>
      <c r="M485" s="10">
        <v>101.72448422598301</v>
      </c>
      <c r="N485" s="10">
        <v>6.1749724712444998</v>
      </c>
    </row>
    <row r="486" spans="1:14" hidden="1" x14ac:dyDescent="0.3">
      <c r="A486" s="5">
        <v>40</v>
      </c>
      <c r="B486" s="5" t="str">
        <f>_xlfn.XLOOKUP(D486,'[1]Viirs77-Sol'!$C$2:$C$694,'[1]Viirs77-Sol'!$A$2:$A$694)</f>
        <v>TH-96</v>
      </c>
      <c r="C486" s="5" t="str">
        <f>_xlfn.XLOOKUP(D486,cleanprovinces!$B:$B,cleanprovinces!$A:$A)</f>
        <v>SO</v>
      </c>
      <c r="D486" s="5" t="s">
        <v>77</v>
      </c>
      <c r="E486" s="6">
        <v>2018</v>
      </c>
      <c r="F486" s="7" cm="1">
        <f t="array" ref="F486">_xlfn.XLOOKUP(D486&amp;E486,'[1]Viirs77-Sol'!$C$2:$C$694&amp;'[1]Viirs77-Sol'!$D$2:$D$694,'[1]Viirs77-Sol'!$E$2:$E$694)</f>
        <v>13427.769329999999</v>
      </c>
      <c r="G486" s="7" cm="1">
        <f t="array" ref="G486">_xlfn.XLOOKUP(B486&amp;E486,'[2]Viirs77-Mean'!$A$2:$A$694&amp;'[2]Viirs77-Mean'!$D$2:$D$694,'[2]Viirs77-Mean'!$E$2:$E$694)</f>
        <v>0.65005469100000002</v>
      </c>
      <c r="H486" s="9" cm="1">
        <f t="array" ref="H486">_xlfn.XLOOKUP(D486,cleanprovinces!$B$2:$B$78,_xlfn.XLOOKUP(panel!E486,cleanprovinces!$C$1:$AC$1,cleanprovinces!$C$2:$AC$78,"no",0,1))</f>
        <v>23036</v>
      </c>
      <c r="I486" s="4">
        <f t="shared" si="22"/>
        <v>23036000000</v>
      </c>
      <c r="J486" s="3" cm="1">
        <f t="array" ref="J486">_xlfn.XLOOKUP(D486,[3]Sheet1!$B$2:$B$78,_xlfn.XLOOKUP(E486,[3]Sheet1!$C$1:$AC$1,[3]Sheet1!$C$2:$AC$78))</f>
        <v>721</v>
      </c>
      <c r="K486" s="3">
        <f t="shared" si="21"/>
        <v>721000</v>
      </c>
      <c r="L486" s="3">
        <f t="shared" si="23"/>
        <v>31950.069348127599</v>
      </c>
      <c r="M486" s="10">
        <v>101.72448422598301</v>
      </c>
      <c r="N486" s="10">
        <v>6.1749724712444998</v>
      </c>
    </row>
    <row r="487" spans="1:14" hidden="1" x14ac:dyDescent="0.3">
      <c r="A487" s="5">
        <v>40</v>
      </c>
      <c r="B487" s="5" t="str">
        <f>_xlfn.XLOOKUP(D487,'[1]Viirs77-Sol'!$C$2:$C$694,'[1]Viirs77-Sol'!$A$2:$A$694)</f>
        <v>TH-96</v>
      </c>
      <c r="C487" s="5" t="str">
        <f>_xlfn.XLOOKUP(D487,cleanprovinces!$B:$B,cleanprovinces!$A:$A)</f>
        <v>SO</v>
      </c>
      <c r="D487" s="5" t="s">
        <v>77</v>
      </c>
      <c r="E487" s="6">
        <v>2019</v>
      </c>
      <c r="F487" s="7" cm="1">
        <f t="array" ref="F487">_xlfn.XLOOKUP(D487&amp;E487,'[1]Viirs77-Sol'!$C$2:$C$694&amp;'[1]Viirs77-Sol'!$D$2:$D$694,'[1]Viirs77-Sol'!$E$2:$E$694)</f>
        <v>13130.50901</v>
      </c>
      <c r="G487" s="7" cm="1">
        <f t="array" ref="G487">_xlfn.XLOOKUP(B487&amp;E487,'[2]Viirs77-Mean'!$A$2:$A$694&amp;'[2]Viirs77-Mean'!$D$2:$D$694,'[2]Viirs77-Mean'!$E$2:$E$694)</f>
        <v>0.635663957</v>
      </c>
      <c r="H487" s="9" cm="1">
        <f t="array" ref="H487">_xlfn.XLOOKUP(D487,cleanprovinces!$B$2:$B$78,_xlfn.XLOOKUP(panel!E487,cleanprovinces!$C$1:$AC$1,cleanprovinces!$C$2:$AC$78,"no",0,1))</f>
        <v>22739</v>
      </c>
      <c r="I487" s="4">
        <f t="shared" si="22"/>
        <v>22739000000</v>
      </c>
      <c r="J487" s="3" cm="1">
        <f t="array" ref="J487">_xlfn.XLOOKUP(D487,[3]Sheet1!$B$2:$B$78,_xlfn.XLOOKUP(E487,[3]Sheet1!$C$1:$AC$1,[3]Sheet1!$C$2:$AC$78))</f>
        <v>725</v>
      </c>
      <c r="K487" s="3">
        <f t="shared" si="21"/>
        <v>725000</v>
      </c>
      <c r="L487" s="3">
        <f t="shared" si="23"/>
        <v>31364.137931034482</v>
      </c>
      <c r="M487" s="10">
        <v>101.72448422598301</v>
      </c>
      <c r="N487" s="10">
        <v>6.1749724712444998</v>
      </c>
    </row>
    <row r="488" spans="1:14" hidden="1" x14ac:dyDescent="0.3">
      <c r="A488" s="5">
        <v>40</v>
      </c>
      <c r="B488" s="5" t="str">
        <f>_xlfn.XLOOKUP(D488,'[1]Viirs77-Sol'!$C$2:$C$694,'[1]Viirs77-Sol'!$A$2:$A$694)</f>
        <v>TH-96</v>
      </c>
      <c r="C488" s="5" t="str">
        <f>_xlfn.XLOOKUP(D488,cleanprovinces!$B:$B,cleanprovinces!$A:$A)</f>
        <v>SO</v>
      </c>
      <c r="D488" s="5" t="s">
        <v>77</v>
      </c>
      <c r="E488" s="6">
        <v>2020</v>
      </c>
      <c r="F488" s="7" cm="1">
        <f t="array" ref="F488">_xlfn.XLOOKUP(D488&amp;E488,'[1]Viirs77-Sol'!$C$2:$C$694&amp;'[1]Viirs77-Sol'!$D$2:$D$694,'[1]Viirs77-Sol'!$E$2:$E$694)</f>
        <v>14538.373030000001</v>
      </c>
      <c r="G488" s="7" cm="1">
        <f t="array" ref="G488">_xlfn.XLOOKUP(B488&amp;E488,'[2]Viirs77-Mean'!$A$2:$A$694&amp;'[2]Viirs77-Mean'!$D$2:$D$694,'[2]Viirs77-Mean'!$E$2:$E$694)</f>
        <v>0.70382037099999994</v>
      </c>
      <c r="H488" s="9" cm="1">
        <f t="array" ref="H488">_xlfn.XLOOKUP(D488,cleanprovinces!$B$2:$B$78,_xlfn.XLOOKUP(panel!E488,cleanprovinces!$C$1:$AC$1,cleanprovinces!$C$2:$AC$78,"no",0,1))</f>
        <v>21393</v>
      </c>
      <c r="I488" s="4">
        <f t="shared" si="22"/>
        <v>21393000000</v>
      </c>
      <c r="J488" s="3" cm="1">
        <f t="array" ref="J488">_xlfn.XLOOKUP(D488,[3]Sheet1!$B$2:$B$78,_xlfn.XLOOKUP(E488,[3]Sheet1!$C$1:$AC$1,[3]Sheet1!$C$2:$AC$78))</f>
        <v>729</v>
      </c>
      <c r="K488" s="3">
        <f t="shared" si="21"/>
        <v>729000</v>
      </c>
      <c r="L488" s="3">
        <f t="shared" si="23"/>
        <v>29345.679012345678</v>
      </c>
      <c r="M488" s="10">
        <v>101.72448422598301</v>
      </c>
      <c r="N488" s="10">
        <v>6.1749724712444998</v>
      </c>
    </row>
    <row r="489" spans="1:14" hidden="1" x14ac:dyDescent="0.3">
      <c r="A489" s="5">
        <v>40</v>
      </c>
      <c r="B489" s="5" t="str">
        <f>_xlfn.XLOOKUP(D489,'[1]Viirs77-Sol'!$C$2:$C$694,'[1]Viirs77-Sol'!$A$2:$A$694)</f>
        <v>TH-96</v>
      </c>
      <c r="C489" s="5" t="str">
        <f>_xlfn.XLOOKUP(D489,cleanprovinces!$B:$B,cleanprovinces!$A:$A)</f>
        <v>SO</v>
      </c>
      <c r="D489" s="5" t="s">
        <v>77</v>
      </c>
      <c r="E489" s="6">
        <v>2021</v>
      </c>
      <c r="F489" s="7" cm="1">
        <f t="array" ref="F489">_xlfn.XLOOKUP(D489&amp;E489,'[1]Viirs77-Sol'!$C$2:$C$694&amp;'[1]Viirs77-Sol'!$D$2:$D$694,'[1]Viirs77-Sol'!$E$2:$E$694)</f>
        <v>17100.184010000001</v>
      </c>
      <c r="G489" s="7" cm="1">
        <f t="array" ref="G489">_xlfn.XLOOKUP(B489&amp;E489,'[2]Viirs77-Mean'!$A$2:$A$694&amp;'[2]Viirs77-Mean'!$D$2:$D$694,'[2]Viirs77-Mean'!$E$2:$E$694)</f>
        <v>0.82784076500000003</v>
      </c>
      <c r="H489" s="9" cm="1">
        <f t="array" ref="H489">_xlfn.XLOOKUP(D489,cleanprovinces!$B$2:$B$78,_xlfn.XLOOKUP(panel!E489,cleanprovinces!$C$1:$AC$1,cleanprovinces!$C$2:$AC$78,"no",0,1))</f>
        <v>22383</v>
      </c>
      <c r="I489" s="4">
        <f t="shared" si="22"/>
        <v>22383000000</v>
      </c>
      <c r="J489" s="3" cm="1">
        <f t="array" ref="J489">_xlfn.XLOOKUP(D489,[3]Sheet1!$B$2:$B$78,_xlfn.XLOOKUP(E489,[3]Sheet1!$C$1:$AC$1,[3]Sheet1!$C$2:$AC$78))</f>
        <v>733</v>
      </c>
      <c r="K489" s="3">
        <f t="shared" si="21"/>
        <v>733000</v>
      </c>
      <c r="L489" s="3">
        <f t="shared" si="23"/>
        <v>30536.152796725786</v>
      </c>
      <c r="M489" s="10">
        <v>101.72448422598301</v>
      </c>
      <c r="N489" s="10">
        <v>6.1749724712444998</v>
      </c>
    </row>
    <row r="490" spans="1:14" hidden="1" x14ac:dyDescent="0.3">
      <c r="A490" s="5">
        <v>57</v>
      </c>
      <c r="B490" s="5" t="str">
        <f>_xlfn.XLOOKUP(D490,'[1]Viirs77-Sol'!$C$2:$C$694,'[1]Viirs77-Sol'!$A$2:$A$694)</f>
        <v>TH-94</v>
      </c>
      <c r="C490" s="5" t="str">
        <f>_xlfn.XLOOKUP(D490,cleanprovinces!$B:$B,cleanprovinces!$A:$A)</f>
        <v>SO</v>
      </c>
      <c r="D490" s="5" t="s">
        <v>79</v>
      </c>
      <c r="E490" s="6">
        <v>2014</v>
      </c>
      <c r="F490" s="7" cm="1">
        <f t="array" ref="F490">_xlfn.XLOOKUP(D490&amp;E490,'[1]Viirs77-Sol'!$C$2:$C$694&amp;'[1]Viirs77-Sol'!$D$2:$D$694,'[1]Viirs77-Sol'!$E$2:$E$694)</f>
        <v>8838.2863039999993</v>
      </c>
      <c r="G490" s="7" cm="1">
        <f t="array" ref="G490">_xlfn.XLOOKUP(B490&amp;E490,'[2]Viirs77-Mean'!$A$2:$A$694&amp;'[2]Viirs77-Mean'!$D$2:$D$694,'[2]Viirs77-Mean'!$E$2:$E$694)</f>
        <v>0.97165395499999996</v>
      </c>
      <c r="H490" s="9" cm="1">
        <f t="array" ref="H490">_xlfn.XLOOKUP(D490,cleanprovinces!$B$2:$B$78,_xlfn.XLOOKUP(panel!E490,cleanprovinces!$C$1:$AC$1,cleanprovinces!$C$2:$AC$78,"no",0,1))</f>
        <v>36153</v>
      </c>
      <c r="I490" s="4">
        <f t="shared" si="22"/>
        <v>36153000000</v>
      </c>
      <c r="J490" s="3" cm="1">
        <f t="array" ref="J490">_xlfn.XLOOKUP(D490,[3]Sheet1!$B$2:$B$78,_xlfn.XLOOKUP(E490,[3]Sheet1!$C$1:$AC$1,[3]Sheet1!$C$2:$AC$78))</f>
        <v>628</v>
      </c>
      <c r="K490" s="3">
        <f t="shared" si="21"/>
        <v>628000</v>
      </c>
      <c r="L490" s="3">
        <f t="shared" si="23"/>
        <v>57568.47133757962</v>
      </c>
      <c r="M490" s="10">
        <v>101.352548278027</v>
      </c>
      <c r="N490" s="10">
        <v>6.7285207925412296</v>
      </c>
    </row>
    <row r="491" spans="1:14" hidden="1" x14ac:dyDescent="0.3">
      <c r="A491" s="5">
        <v>57</v>
      </c>
      <c r="B491" s="5" t="str">
        <f>_xlfn.XLOOKUP(D491,'[1]Viirs77-Sol'!$C$2:$C$694,'[1]Viirs77-Sol'!$A$2:$A$694)</f>
        <v>TH-94</v>
      </c>
      <c r="C491" s="5" t="str">
        <f>_xlfn.XLOOKUP(D491,cleanprovinces!$B:$B,cleanprovinces!$A:$A)</f>
        <v>SO</v>
      </c>
      <c r="D491" s="5" t="s">
        <v>79</v>
      </c>
      <c r="E491" s="6">
        <v>2015</v>
      </c>
      <c r="F491" s="7" cm="1">
        <f t="array" ref="F491">_xlfn.XLOOKUP(D491&amp;E491,'[1]Viirs77-Sol'!$C$2:$C$694&amp;'[1]Viirs77-Sol'!$D$2:$D$694,'[1]Viirs77-Sol'!$E$2:$E$694)</f>
        <v>10148.88903</v>
      </c>
      <c r="G491" s="7" cm="1">
        <f t="array" ref="G491">_xlfn.XLOOKUP(B491&amp;E491,'[2]Viirs77-Mean'!$A$2:$A$694&amp;'[2]Viirs77-Mean'!$D$2:$D$694,'[2]Viirs77-Mean'!$E$2:$E$694)</f>
        <v>1.1157375789999999</v>
      </c>
      <c r="H491" s="9" cm="1">
        <f t="array" ref="H491">_xlfn.XLOOKUP(D491,cleanprovinces!$B$2:$B$78,_xlfn.XLOOKUP(panel!E491,cleanprovinces!$C$1:$AC$1,cleanprovinces!$C$2:$AC$78,"no",0,1))</f>
        <v>35653</v>
      </c>
      <c r="I491" s="4">
        <f t="shared" si="22"/>
        <v>35653000000</v>
      </c>
      <c r="J491" s="3" cm="1">
        <f t="array" ref="J491">_xlfn.XLOOKUP(D491,[3]Sheet1!$B$2:$B$78,_xlfn.XLOOKUP(E491,[3]Sheet1!$C$1:$AC$1,[3]Sheet1!$C$2:$AC$78))</f>
        <v>632</v>
      </c>
      <c r="K491" s="3">
        <f t="shared" si="21"/>
        <v>632000</v>
      </c>
      <c r="L491" s="3">
        <f t="shared" si="23"/>
        <v>56412.9746835443</v>
      </c>
      <c r="M491" s="10">
        <v>101.352548278027</v>
      </c>
      <c r="N491" s="10">
        <v>6.7285207925412296</v>
      </c>
    </row>
    <row r="492" spans="1:14" hidden="1" x14ac:dyDescent="0.3">
      <c r="A492" s="5">
        <v>57</v>
      </c>
      <c r="B492" s="5" t="str">
        <f>_xlfn.XLOOKUP(D492,'[1]Viirs77-Sol'!$C$2:$C$694,'[1]Viirs77-Sol'!$A$2:$A$694)</f>
        <v>TH-94</v>
      </c>
      <c r="C492" s="5" t="str">
        <f>_xlfn.XLOOKUP(D492,cleanprovinces!$B:$B,cleanprovinces!$A:$A)</f>
        <v>SO</v>
      </c>
      <c r="D492" s="5" t="s">
        <v>79</v>
      </c>
      <c r="E492" s="6">
        <v>2016</v>
      </c>
      <c r="F492" s="7" cm="1">
        <f t="array" ref="F492">_xlfn.XLOOKUP(D492&amp;E492,'[1]Viirs77-Sol'!$C$2:$C$694&amp;'[1]Viirs77-Sol'!$D$2:$D$694,'[1]Viirs77-Sol'!$E$2:$E$694)</f>
        <v>11254.94066</v>
      </c>
      <c r="G492" s="7" cm="1">
        <f t="array" ref="G492">_xlfn.XLOOKUP(B492&amp;E492,'[2]Viirs77-Mean'!$A$2:$A$694&amp;'[2]Viirs77-Mean'!$D$2:$D$694,'[2]Viirs77-Mean'!$E$2:$E$694)</f>
        <v>1.237333486</v>
      </c>
      <c r="H492" s="9" cm="1">
        <f t="array" ref="H492">_xlfn.XLOOKUP(D492,cleanprovinces!$B$2:$B$78,_xlfn.XLOOKUP(panel!E492,cleanprovinces!$C$1:$AC$1,cleanprovinces!$C$2:$AC$78,"no",0,1))</f>
        <v>37436</v>
      </c>
      <c r="I492" s="4">
        <f t="shared" si="22"/>
        <v>37436000000</v>
      </c>
      <c r="J492" s="3" cm="1">
        <f t="array" ref="J492">_xlfn.XLOOKUP(D492,[3]Sheet1!$B$2:$B$78,_xlfn.XLOOKUP(E492,[3]Sheet1!$C$1:$AC$1,[3]Sheet1!$C$2:$AC$78))</f>
        <v>635</v>
      </c>
      <c r="K492" s="3">
        <f t="shared" si="21"/>
        <v>635000</v>
      </c>
      <c r="L492" s="3">
        <f t="shared" si="23"/>
        <v>58954.330708661415</v>
      </c>
      <c r="M492" s="10">
        <v>101.352548278027</v>
      </c>
      <c r="N492" s="10">
        <v>6.7285207925412296</v>
      </c>
    </row>
    <row r="493" spans="1:14" hidden="1" x14ac:dyDescent="0.3">
      <c r="A493" s="5">
        <v>57</v>
      </c>
      <c r="B493" s="5" t="str">
        <f>_xlfn.XLOOKUP(D493,'[1]Viirs77-Sol'!$C$2:$C$694,'[1]Viirs77-Sol'!$A$2:$A$694)</f>
        <v>TH-94</v>
      </c>
      <c r="C493" s="5" t="str">
        <f>_xlfn.XLOOKUP(D493,cleanprovinces!$B:$B,cleanprovinces!$A:$A)</f>
        <v>SO</v>
      </c>
      <c r="D493" s="5" t="s">
        <v>79</v>
      </c>
      <c r="E493" s="6">
        <v>2017</v>
      </c>
      <c r="F493" s="7" cm="1">
        <f t="array" ref="F493">_xlfn.XLOOKUP(D493&amp;E493,'[1]Viirs77-Sol'!$C$2:$C$694&amp;'[1]Viirs77-Sol'!$D$2:$D$694,'[1]Viirs77-Sol'!$E$2:$E$694)</f>
        <v>12822.4226</v>
      </c>
      <c r="G493" s="7" cm="1">
        <f t="array" ref="G493">_xlfn.XLOOKUP(B493&amp;E493,'[2]Viirs77-Mean'!$A$2:$A$694&amp;'[2]Viirs77-Mean'!$D$2:$D$694,'[2]Viirs77-Mean'!$E$2:$E$694)</f>
        <v>1.409657618</v>
      </c>
      <c r="H493" s="9" cm="1">
        <f t="array" ref="H493">_xlfn.XLOOKUP(D493,cleanprovinces!$B$2:$B$78,_xlfn.XLOOKUP(panel!E493,cleanprovinces!$C$1:$AC$1,cleanprovinces!$C$2:$AC$78,"no",0,1))</f>
        <v>30546</v>
      </c>
      <c r="I493" s="4">
        <f t="shared" si="22"/>
        <v>30546000000</v>
      </c>
      <c r="J493" s="3" cm="1">
        <f t="array" ref="J493">_xlfn.XLOOKUP(D493,[3]Sheet1!$B$2:$B$78,_xlfn.XLOOKUP(E493,[3]Sheet1!$C$1:$AC$1,[3]Sheet1!$C$2:$AC$78))</f>
        <v>639</v>
      </c>
      <c r="K493" s="3">
        <f t="shared" si="21"/>
        <v>639000</v>
      </c>
      <c r="L493" s="3">
        <f t="shared" si="23"/>
        <v>47802.816901408449</v>
      </c>
      <c r="M493" s="10">
        <v>101.352548278027</v>
      </c>
      <c r="N493" s="10">
        <v>6.7285207925412296</v>
      </c>
    </row>
    <row r="494" spans="1:14" hidden="1" x14ac:dyDescent="0.3">
      <c r="A494" s="5">
        <v>57</v>
      </c>
      <c r="B494" s="5" t="str">
        <f>_xlfn.XLOOKUP(D494,'[1]Viirs77-Sol'!$C$2:$C$694,'[1]Viirs77-Sol'!$A$2:$A$694)</f>
        <v>TH-94</v>
      </c>
      <c r="C494" s="5" t="str">
        <f>_xlfn.XLOOKUP(D494,cleanprovinces!$B:$B,cleanprovinces!$A:$A)</f>
        <v>SO</v>
      </c>
      <c r="D494" s="5" t="s">
        <v>79</v>
      </c>
      <c r="E494" s="6">
        <v>2018</v>
      </c>
      <c r="F494" s="7" cm="1">
        <f t="array" ref="F494">_xlfn.XLOOKUP(D494&amp;E494,'[1]Viirs77-Sol'!$C$2:$C$694&amp;'[1]Viirs77-Sol'!$D$2:$D$694,'[1]Viirs77-Sol'!$E$2:$E$694)</f>
        <v>14149.976290000001</v>
      </c>
      <c r="G494" s="7" cm="1">
        <f t="array" ref="G494">_xlfn.XLOOKUP(B494&amp;E494,'[2]Viirs77-Mean'!$A$2:$A$694&amp;'[2]Viirs77-Mean'!$D$2:$D$694,'[2]Viirs77-Mean'!$E$2:$E$694)</f>
        <v>1.5556047799999999</v>
      </c>
      <c r="H494" s="9" cm="1">
        <f t="array" ref="H494">_xlfn.XLOOKUP(D494,cleanprovinces!$B$2:$B$78,_xlfn.XLOOKUP(panel!E494,cleanprovinces!$C$1:$AC$1,cleanprovinces!$C$2:$AC$78,"no",0,1))</f>
        <v>32408</v>
      </c>
      <c r="I494" s="4">
        <f t="shared" si="22"/>
        <v>32408000000</v>
      </c>
      <c r="J494" s="3" cm="1">
        <f t="array" ref="J494">_xlfn.XLOOKUP(D494,[3]Sheet1!$B$2:$B$78,_xlfn.XLOOKUP(E494,[3]Sheet1!$C$1:$AC$1,[3]Sheet1!$C$2:$AC$78))</f>
        <v>641</v>
      </c>
      <c r="K494" s="3">
        <f t="shared" si="21"/>
        <v>641000</v>
      </c>
      <c r="L494" s="3">
        <f t="shared" si="23"/>
        <v>50558.502340093604</v>
      </c>
      <c r="M494" s="10">
        <v>101.352548278027</v>
      </c>
      <c r="N494" s="10">
        <v>6.7285207925412296</v>
      </c>
    </row>
    <row r="495" spans="1:14" hidden="1" x14ac:dyDescent="0.3">
      <c r="A495" s="5">
        <v>57</v>
      </c>
      <c r="B495" s="5" t="str">
        <f>_xlfn.XLOOKUP(D495,'[1]Viirs77-Sol'!$C$2:$C$694,'[1]Viirs77-Sol'!$A$2:$A$694)</f>
        <v>TH-94</v>
      </c>
      <c r="C495" s="5" t="str">
        <f>_xlfn.XLOOKUP(D495,cleanprovinces!$B:$B,cleanprovinces!$A:$A)</f>
        <v>SO</v>
      </c>
      <c r="D495" s="5" t="s">
        <v>79</v>
      </c>
      <c r="E495" s="6">
        <v>2019</v>
      </c>
      <c r="F495" s="7" cm="1">
        <f t="array" ref="F495">_xlfn.XLOOKUP(D495&amp;E495,'[1]Viirs77-Sol'!$C$2:$C$694&amp;'[1]Viirs77-Sol'!$D$2:$D$694,'[1]Viirs77-Sol'!$E$2:$E$694)</f>
        <v>13784.84712</v>
      </c>
      <c r="G495" s="7" cm="1">
        <f t="array" ref="G495">_xlfn.XLOOKUP(B495&amp;E495,'[2]Viirs77-Mean'!$A$2:$A$694&amp;'[2]Viirs77-Mean'!$D$2:$D$694,'[2]Viirs77-Mean'!$E$2:$E$694)</f>
        <v>1.515463604</v>
      </c>
      <c r="H495" s="9" cm="1">
        <f t="array" ref="H495">_xlfn.XLOOKUP(D495,cleanprovinces!$B$2:$B$78,_xlfn.XLOOKUP(panel!E495,cleanprovinces!$C$1:$AC$1,cleanprovinces!$C$2:$AC$78,"no",0,1))</f>
        <v>32854</v>
      </c>
      <c r="I495" s="4">
        <f t="shared" si="22"/>
        <v>32854000000</v>
      </c>
      <c r="J495" s="3" cm="1">
        <f t="array" ref="J495">_xlfn.XLOOKUP(D495,[3]Sheet1!$B$2:$B$78,_xlfn.XLOOKUP(E495,[3]Sheet1!$C$1:$AC$1,[3]Sheet1!$C$2:$AC$78))</f>
        <v>644</v>
      </c>
      <c r="K495" s="3">
        <f t="shared" si="21"/>
        <v>644000</v>
      </c>
      <c r="L495" s="3">
        <f t="shared" si="23"/>
        <v>51015.527950310556</v>
      </c>
      <c r="M495" s="10">
        <v>101.352548278027</v>
      </c>
      <c r="N495" s="10">
        <v>6.7285207925412296</v>
      </c>
    </row>
    <row r="496" spans="1:14" hidden="1" x14ac:dyDescent="0.3">
      <c r="A496" s="5">
        <v>57</v>
      </c>
      <c r="B496" s="5" t="str">
        <f>_xlfn.XLOOKUP(D496,'[1]Viirs77-Sol'!$C$2:$C$694,'[1]Viirs77-Sol'!$A$2:$A$694)</f>
        <v>TH-94</v>
      </c>
      <c r="C496" s="5" t="str">
        <f>_xlfn.XLOOKUP(D496,cleanprovinces!$B:$B,cleanprovinces!$A:$A)</f>
        <v>SO</v>
      </c>
      <c r="D496" s="5" t="s">
        <v>79</v>
      </c>
      <c r="E496" s="6">
        <v>2020</v>
      </c>
      <c r="F496" s="7" cm="1">
        <f t="array" ref="F496">_xlfn.XLOOKUP(D496&amp;E496,'[1]Viirs77-Sol'!$C$2:$C$694&amp;'[1]Viirs77-Sol'!$D$2:$D$694,'[1]Viirs77-Sol'!$E$2:$E$694)</f>
        <v>15194.587020000001</v>
      </c>
      <c r="G496" s="7" cm="1">
        <f t="array" ref="G496">_xlfn.XLOOKUP(B496&amp;E496,'[2]Viirs77-Mean'!$A$2:$A$694&amp;'[2]Viirs77-Mean'!$D$2:$D$694,'[2]Viirs77-Mean'!$E$2:$E$694)</f>
        <v>1.6704460640000001</v>
      </c>
      <c r="H496" s="9" cm="1">
        <f t="array" ref="H496">_xlfn.XLOOKUP(D496,cleanprovinces!$B$2:$B$78,_xlfn.XLOOKUP(panel!E496,cleanprovinces!$C$1:$AC$1,cleanprovinces!$C$2:$AC$78,"no",0,1))</f>
        <v>31345</v>
      </c>
      <c r="I496" s="4">
        <f t="shared" si="22"/>
        <v>31345000000</v>
      </c>
      <c r="J496" s="3" cm="1">
        <f t="array" ref="J496">_xlfn.XLOOKUP(D496,[3]Sheet1!$B$2:$B$78,_xlfn.XLOOKUP(E496,[3]Sheet1!$C$1:$AC$1,[3]Sheet1!$C$2:$AC$78))</f>
        <v>646</v>
      </c>
      <c r="K496" s="3">
        <f t="shared" si="21"/>
        <v>646000</v>
      </c>
      <c r="L496" s="3">
        <f t="shared" si="23"/>
        <v>48521.671826625388</v>
      </c>
      <c r="M496" s="10">
        <v>101.352548278027</v>
      </c>
      <c r="N496" s="10">
        <v>6.7285207925412296</v>
      </c>
    </row>
    <row r="497" spans="1:14" hidden="1" x14ac:dyDescent="0.3">
      <c r="A497" s="5">
        <v>57</v>
      </c>
      <c r="B497" s="5" t="str">
        <f>_xlfn.XLOOKUP(D497,'[1]Viirs77-Sol'!$C$2:$C$694,'[1]Viirs77-Sol'!$A$2:$A$694)</f>
        <v>TH-94</v>
      </c>
      <c r="C497" s="5" t="str">
        <f>_xlfn.XLOOKUP(D497,cleanprovinces!$B:$B,cleanprovinces!$A:$A)</f>
        <v>SO</v>
      </c>
      <c r="D497" s="5" t="s">
        <v>79</v>
      </c>
      <c r="E497" s="6">
        <v>2021</v>
      </c>
      <c r="F497" s="7" cm="1">
        <f t="array" ref="F497">_xlfn.XLOOKUP(D497&amp;E497,'[1]Viirs77-Sol'!$C$2:$C$694&amp;'[1]Viirs77-Sol'!$D$2:$D$694,'[1]Viirs77-Sol'!$E$2:$E$694)</f>
        <v>16532.29146</v>
      </c>
      <c r="G497" s="7" cm="1">
        <f t="array" ref="G497">_xlfn.XLOOKUP(B497&amp;E497,'[2]Viirs77-Mean'!$A$2:$A$694&amp;'[2]Viirs77-Mean'!$D$2:$D$694,'[2]Viirs77-Mean'!$E$2:$E$694)</f>
        <v>1.8175091670000001</v>
      </c>
      <c r="H497" s="9" cm="1">
        <f t="array" ref="H497">_xlfn.XLOOKUP(D497,cleanprovinces!$B$2:$B$78,_xlfn.XLOOKUP(panel!E497,cleanprovinces!$C$1:$AC$1,cleanprovinces!$C$2:$AC$78,"no",0,1))</f>
        <v>32014</v>
      </c>
      <c r="I497" s="4">
        <f t="shared" si="22"/>
        <v>32014000000</v>
      </c>
      <c r="J497" s="3" cm="1">
        <f t="array" ref="J497">_xlfn.XLOOKUP(D497,[3]Sheet1!$B$2:$B$78,_xlfn.XLOOKUP(E497,[3]Sheet1!$C$1:$AC$1,[3]Sheet1!$C$2:$AC$78))</f>
        <v>648</v>
      </c>
      <c r="K497" s="3">
        <f t="shared" si="21"/>
        <v>648000</v>
      </c>
      <c r="L497" s="3">
        <f t="shared" si="23"/>
        <v>49404.320987654319</v>
      </c>
      <c r="M497" s="10">
        <v>101.352548278027</v>
      </c>
      <c r="N497" s="10">
        <v>6.7285207925412296</v>
      </c>
    </row>
    <row r="498" spans="1:14" hidden="1" x14ac:dyDescent="0.3">
      <c r="A498" s="5">
        <v>56</v>
      </c>
      <c r="B498" s="5" t="str">
        <f>_xlfn.XLOOKUP(D498,'[1]Viirs77-Sol'!$C$2:$C$694,'[1]Viirs77-Sol'!$A$2:$A$694)</f>
        <v>TH-82</v>
      </c>
      <c r="C498" s="5" t="str">
        <f>_xlfn.XLOOKUP(D498,cleanprovinces!$B:$B,cleanprovinces!$A:$A)</f>
        <v>SO</v>
      </c>
      <c r="D498" s="5" t="s">
        <v>69</v>
      </c>
      <c r="E498" s="6">
        <v>2014</v>
      </c>
      <c r="F498" s="7" cm="1">
        <f t="array" ref="F498">_xlfn.XLOOKUP(D498&amp;E498,'[1]Viirs77-Sol'!$C$2:$C$694&amp;'[1]Viirs77-Sol'!$D$2:$D$694,'[1]Viirs77-Sol'!$E$2:$E$694)</f>
        <v>6195.2050559999998</v>
      </c>
      <c r="G498" s="7" cm="1">
        <f t="array" ref="G498">_xlfn.XLOOKUP(B498&amp;E498,'[2]Viirs77-Mean'!$A$2:$A$694&amp;'[2]Viirs77-Mean'!$D$2:$D$694,'[2]Viirs77-Mean'!$E$2:$E$694)</f>
        <v>0.34313832700000002</v>
      </c>
      <c r="H498" s="9" cm="1">
        <f t="array" ref="H498">_xlfn.XLOOKUP(D498,cleanprovinces!$B$2:$B$78,_xlfn.XLOOKUP(panel!E498,cleanprovinces!$C$1:$AC$1,cleanprovinces!$C$2:$AC$78,"no",0,1))</f>
        <v>28172</v>
      </c>
      <c r="I498" s="4">
        <f t="shared" si="22"/>
        <v>28172000000</v>
      </c>
      <c r="J498" s="3" cm="1">
        <f t="array" ref="J498">_xlfn.XLOOKUP(D498,[3]Sheet1!$B$2:$B$78,_xlfn.XLOOKUP(E498,[3]Sheet1!$C$1:$AC$1,[3]Sheet1!$C$2:$AC$78))</f>
        <v>254</v>
      </c>
      <c r="K498" s="3">
        <f t="shared" si="21"/>
        <v>254000</v>
      </c>
      <c r="L498" s="3">
        <f t="shared" si="23"/>
        <v>110913.38582677166</v>
      </c>
      <c r="M498" s="10">
        <v>98.419858791884494</v>
      </c>
      <c r="N498" s="10">
        <v>8.6790483311120994</v>
      </c>
    </row>
    <row r="499" spans="1:14" hidden="1" x14ac:dyDescent="0.3">
      <c r="A499" s="5">
        <v>56</v>
      </c>
      <c r="B499" s="5" t="str">
        <f>_xlfn.XLOOKUP(D499,'[1]Viirs77-Sol'!$C$2:$C$694,'[1]Viirs77-Sol'!$A$2:$A$694)</f>
        <v>TH-82</v>
      </c>
      <c r="C499" s="5" t="str">
        <f>_xlfn.XLOOKUP(D499,cleanprovinces!$B:$B,cleanprovinces!$A:$A)</f>
        <v>SO</v>
      </c>
      <c r="D499" s="5" t="s">
        <v>69</v>
      </c>
      <c r="E499" s="6">
        <v>2015</v>
      </c>
      <c r="F499" s="7" cm="1">
        <f t="array" ref="F499">_xlfn.XLOOKUP(D499&amp;E499,'[1]Viirs77-Sol'!$C$2:$C$694&amp;'[1]Viirs77-Sol'!$D$2:$D$694,'[1]Viirs77-Sol'!$E$2:$E$694)</f>
        <v>6689.8744390000002</v>
      </c>
      <c r="G499" s="7" cm="1">
        <f t="array" ref="G499">_xlfn.XLOOKUP(B499&amp;E499,'[2]Viirs77-Mean'!$A$2:$A$694&amp;'[2]Viirs77-Mean'!$D$2:$D$694,'[2]Viirs77-Mean'!$E$2:$E$694)</f>
        <v>0.37053693999999998</v>
      </c>
      <c r="H499" s="9" cm="1">
        <f t="array" ref="H499">_xlfn.XLOOKUP(D499,cleanprovinces!$B$2:$B$78,_xlfn.XLOOKUP(panel!E499,cleanprovinces!$C$1:$AC$1,cleanprovinces!$C$2:$AC$78,"no",0,1))</f>
        <v>34656</v>
      </c>
      <c r="I499" s="4">
        <f t="shared" si="22"/>
        <v>34656000000</v>
      </c>
      <c r="J499" s="3" cm="1">
        <f t="array" ref="J499">_xlfn.XLOOKUP(D499,[3]Sheet1!$B$2:$B$78,_xlfn.XLOOKUP(E499,[3]Sheet1!$C$1:$AC$1,[3]Sheet1!$C$2:$AC$78))</f>
        <v>253</v>
      </c>
      <c r="K499" s="3">
        <f t="shared" si="21"/>
        <v>253000</v>
      </c>
      <c r="L499" s="3">
        <f t="shared" si="23"/>
        <v>136980.23715415021</v>
      </c>
      <c r="M499" s="10">
        <v>98.419858791884494</v>
      </c>
      <c r="N499" s="10">
        <v>8.6790483311120994</v>
      </c>
    </row>
    <row r="500" spans="1:14" hidden="1" x14ac:dyDescent="0.3">
      <c r="A500" s="5">
        <v>56</v>
      </c>
      <c r="B500" s="5" t="str">
        <f>_xlfn.XLOOKUP(D500,'[1]Viirs77-Sol'!$C$2:$C$694,'[1]Viirs77-Sol'!$A$2:$A$694)</f>
        <v>TH-82</v>
      </c>
      <c r="C500" s="5" t="str">
        <f>_xlfn.XLOOKUP(D500,cleanprovinces!$B:$B,cleanprovinces!$A:$A)</f>
        <v>SO</v>
      </c>
      <c r="D500" s="5" t="s">
        <v>69</v>
      </c>
      <c r="E500" s="6">
        <v>2016</v>
      </c>
      <c r="F500" s="7" cm="1">
        <f t="array" ref="F500">_xlfn.XLOOKUP(D500&amp;E500,'[1]Viirs77-Sol'!$C$2:$C$694&amp;'[1]Viirs77-Sol'!$D$2:$D$694,'[1]Viirs77-Sol'!$E$2:$E$694)</f>
        <v>7233.3955470000001</v>
      </c>
      <c r="G500" s="7" cm="1">
        <f t="array" ref="G500">_xlfn.XLOOKUP(B500&amp;E500,'[2]Viirs77-Mean'!$A$2:$A$694&amp;'[2]Viirs77-Mean'!$D$2:$D$694,'[2]Viirs77-Mean'!$E$2:$E$694)</f>
        <v>0.40064133899999999</v>
      </c>
      <c r="H500" s="9" cm="1">
        <f t="array" ref="H500">_xlfn.XLOOKUP(D500,cleanprovinces!$B$2:$B$78,_xlfn.XLOOKUP(panel!E500,cleanprovinces!$C$1:$AC$1,cleanprovinces!$C$2:$AC$78,"no",0,1))</f>
        <v>36498</v>
      </c>
      <c r="I500" s="4">
        <f t="shared" si="22"/>
        <v>36498000000</v>
      </c>
      <c r="J500" s="3" cm="1">
        <f t="array" ref="J500">_xlfn.XLOOKUP(D500,[3]Sheet1!$B$2:$B$78,_xlfn.XLOOKUP(E500,[3]Sheet1!$C$1:$AC$1,[3]Sheet1!$C$2:$AC$78))</f>
        <v>252</v>
      </c>
      <c r="K500" s="3">
        <f t="shared" si="21"/>
        <v>252000</v>
      </c>
      <c r="L500" s="3">
        <f t="shared" si="23"/>
        <v>144833.33333333334</v>
      </c>
      <c r="M500" s="10">
        <v>98.419858791884494</v>
      </c>
      <c r="N500" s="10">
        <v>8.6790483311120994</v>
      </c>
    </row>
    <row r="501" spans="1:14" hidden="1" x14ac:dyDescent="0.3">
      <c r="A501" s="5">
        <v>56</v>
      </c>
      <c r="B501" s="5" t="str">
        <f>_xlfn.XLOOKUP(D501,'[1]Viirs77-Sol'!$C$2:$C$694,'[1]Viirs77-Sol'!$A$2:$A$694)</f>
        <v>TH-82</v>
      </c>
      <c r="C501" s="5" t="str">
        <f>_xlfn.XLOOKUP(D501,cleanprovinces!$B:$B,cleanprovinces!$A:$A)</f>
        <v>SO</v>
      </c>
      <c r="D501" s="5" t="s">
        <v>69</v>
      </c>
      <c r="E501" s="6">
        <v>2017</v>
      </c>
      <c r="F501" s="7" cm="1">
        <f t="array" ref="F501">_xlfn.XLOOKUP(D501&amp;E501,'[1]Viirs77-Sol'!$C$2:$C$694&amp;'[1]Viirs77-Sol'!$D$2:$D$694,'[1]Viirs77-Sol'!$E$2:$E$694)</f>
        <v>8256.5066399999996</v>
      </c>
      <c r="G501" s="7" cm="1">
        <f t="array" ref="G501">_xlfn.XLOOKUP(B501&amp;E501,'[2]Viirs77-Mean'!$A$2:$A$694&amp;'[2]Viirs77-Mean'!$D$2:$D$694,'[2]Viirs77-Mean'!$E$2:$E$694)</f>
        <v>0.45730913699999998</v>
      </c>
      <c r="H501" s="9" cm="1">
        <f t="array" ref="H501">_xlfn.XLOOKUP(D501,cleanprovinces!$B$2:$B$78,_xlfn.XLOOKUP(panel!E501,cleanprovinces!$C$1:$AC$1,cleanprovinces!$C$2:$AC$78,"no",0,1))</f>
        <v>39832</v>
      </c>
      <c r="I501" s="4">
        <f t="shared" si="22"/>
        <v>39832000000</v>
      </c>
      <c r="J501" s="3" cm="1">
        <f t="array" ref="J501">_xlfn.XLOOKUP(D501,[3]Sheet1!$B$2:$B$78,_xlfn.XLOOKUP(E501,[3]Sheet1!$C$1:$AC$1,[3]Sheet1!$C$2:$AC$78))</f>
        <v>251</v>
      </c>
      <c r="K501" s="3">
        <f t="shared" si="21"/>
        <v>251000</v>
      </c>
      <c r="L501" s="3">
        <f t="shared" si="23"/>
        <v>158693.22709163345</v>
      </c>
      <c r="M501" s="10">
        <v>98.419858791884494</v>
      </c>
      <c r="N501" s="10">
        <v>8.6790483311120994</v>
      </c>
    </row>
    <row r="502" spans="1:14" hidden="1" x14ac:dyDescent="0.3">
      <c r="A502" s="5">
        <v>56</v>
      </c>
      <c r="B502" s="5" t="str">
        <f>_xlfn.XLOOKUP(D502,'[1]Viirs77-Sol'!$C$2:$C$694,'[1]Viirs77-Sol'!$A$2:$A$694)</f>
        <v>TH-82</v>
      </c>
      <c r="C502" s="5" t="str">
        <f>_xlfn.XLOOKUP(D502,cleanprovinces!$B:$B,cleanprovinces!$A:$A)</f>
        <v>SO</v>
      </c>
      <c r="D502" s="5" t="s">
        <v>69</v>
      </c>
      <c r="E502" s="6">
        <v>2018</v>
      </c>
      <c r="F502" s="7" cm="1">
        <f t="array" ref="F502">_xlfn.XLOOKUP(D502&amp;E502,'[1]Viirs77-Sol'!$C$2:$C$694&amp;'[1]Viirs77-Sol'!$D$2:$D$694,'[1]Viirs77-Sol'!$E$2:$E$694)</f>
        <v>8533.4049709999999</v>
      </c>
      <c r="G502" s="7" cm="1">
        <f t="array" ref="G502">_xlfn.XLOOKUP(B502&amp;E502,'[2]Viirs77-Mean'!$A$2:$A$694&amp;'[2]Viirs77-Mean'!$D$2:$D$694,'[2]Viirs77-Mean'!$E$2:$E$694)</f>
        <v>0.472645906</v>
      </c>
      <c r="H502" s="9" cm="1">
        <f t="array" ref="H502">_xlfn.XLOOKUP(D502,cleanprovinces!$B$2:$B$78,_xlfn.XLOOKUP(panel!E502,cleanprovinces!$C$1:$AC$1,cleanprovinces!$C$2:$AC$78,"no",0,1))</f>
        <v>40729</v>
      </c>
      <c r="I502" s="4">
        <f t="shared" si="22"/>
        <v>40729000000</v>
      </c>
      <c r="J502" s="3" cm="1">
        <f t="array" ref="J502">_xlfn.XLOOKUP(D502,[3]Sheet1!$B$2:$B$78,_xlfn.XLOOKUP(E502,[3]Sheet1!$C$1:$AC$1,[3]Sheet1!$C$2:$AC$78))</f>
        <v>250</v>
      </c>
      <c r="K502" s="3">
        <f t="shared" si="21"/>
        <v>250000</v>
      </c>
      <c r="L502" s="3">
        <f t="shared" si="23"/>
        <v>162916</v>
      </c>
      <c r="M502" s="10">
        <v>98.419858791884494</v>
      </c>
      <c r="N502" s="10">
        <v>8.6790483311120994</v>
      </c>
    </row>
    <row r="503" spans="1:14" hidden="1" x14ac:dyDescent="0.3">
      <c r="A503" s="5">
        <v>56</v>
      </c>
      <c r="B503" s="5" t="str">
        <f>_xlfn.XLOOKUP(D503,'[1]Viirs77-Sol'!$C$2:$C$694,'[1]Viirs77-Sol'!$A$2:$A$694)</f>
        <v>TH-82</v>
      </c>
      <c r="C503" s="5" t="str">
        <f>_xlfn.XLOOKUP(D503,cleanprovinces!$B:$B,cleanprovinces!$A:$A)</f>
        <v>SO</v>
      </c>
      <c r="D503" s="5" t="s">
        <v>69</v>
      </c>
      <c r="E503" s="6">
        <v>2019</v>
      </c>
      <c r="F503" s="7" cm="1">
        <f t="array" ref="F503">_xlfn.XLOOKUP(D503&amp;E503,'[1]Viirs77-Sol'!$C$2:$C$694&amp;'[1]Viirs77-Sol'!$D$2:$D$694,'[1]Viirs77-Sol'!$E$2:$E$694)</f>
        <v>9183.1071909999991</v>
      </c>
      <c r="G503" s="7" cm="1">
        <f t="array" ref="G503">_xlfn.XLOOKUP(B503&amp;E503,'[2]Viirs77-Mean'!$A$2:$A$694&amp;'[2]Viirs77-Mean'!$D$2:$D$694,'[2]Viirs77-Mean'!$E$2:$E$694)</f>
        <v>0.50863143499999997</v>
      </c>
      <c r="H503" s="9" cm="1">
        <f t="array" ref="H503">_xlfn.XLOOKUP(D503,cleanprovinces!$B$2:$B$78,_xlfn.XLOOKUP(panel!E503,cleanprovinces!$C$1:$AC$1,cleanprovinces!$C$2:$AC$78,"no",0,1))</f>
        <v>41706</v>
      </c>
      <c r="I503" s="4">
        <f t="shared" si="22"/>
        <v>41706000000</v>
      </c>
      <c r="J503" s="3" cm="1">
        <f t="array" ref="J503">_xlfn.XLOOKUP(D503,[3]Sheet1!$B$2:$B$78,_xlfn.XLOOKUP(E503,[3]Sheet1!$C$1:$AC$1,[3]Sheet1!$C$2:$AC$78))</f>
        <v>250</v>
      </c>
      <c r="K503" s="3">
        <f t="shared" si="21"/>
        <v>250000</v>
      </c>
      <c r="L503" s="3">
        <f t="shared" si="23"/>
        <v>166824</v>
      </c>
      <c r="M503" s="10">
        <v>98.419858791884494</v>
      </c>
      <c r="N503" s="10">
        <v>8.6790483311120994</v>
      </c>
    </row>
    <row r="504" spans="1:14" hidden="1" x14ac:dyDescent="0.3">
      <c r="A504" s="5">
        <v>56</v>
      </c>
      <c r="B504" s="5" t="str">
        <f>_xlfn.XLOOKUP(D504,'[1]Viirs77-Sol'!$C$2:$C$694,'[1]Viirs77-Sol'!$A$2:$A$694)</f>
        <v>TH-82</v>
      </c>
      <c r="C504" s="5" t="str">
        <f>_xlfn.XLOOKUP(D504,cleanprovinces!$B:$B,cleanprovinces!$A:$A)</f>
        <v>SO</v>
      </c>
      <c r="D504" s="5" t="s">
        <v>69</v>
      </c>
      <c r="E504" s="6">
        <v>2020</v>
      </c>
      <c r="F504" s="7" cm="1">
        <f t="array" ref="F504">_xlfn.XLOOKUP(D504&amp;E504,'[1]Viirs77-Sol'!$C$2:$C$694&amp;'[1]Viirs77-Sol'!$D$2:$D$694,'[1]Viirs77-Sol'!$E$2:$E$694)</f>
        <v>10800.333409999999</v>
      </c>
      <c r="G504" s="7" cm="1">
        <f t="array" ref="G504">_xlfn.XLOOKUP(B504&amp;E504,'[2]Viirs77-Mean'!$A$2:$A$694&amp;'[2]Viirs77-Mean'!$D$2:$D$694,'[2]Viirs77-Mean'!$E$2:$E$694)</f>
        <v>0.59820591999999995</v>
      </c>
      <c r="H504" s="9" cm="1">
        <f t="array" ref="H504">_xlfn.XLOOKUP(D504,cleanprovinces!$B$2:$B$78,_xlfn.XLOOKUP(panel!E504,cleanprovinces!$C$1:$AC$1,cleanprovinces!$C$2:$AC$78,"no",0,1))</f>
        <v>29503</v>
      </c>
      <c r="I504" s="4">
        <f t="shared" si="22"/>
        <v>29503000000</v>
      </c>
      <c r="J504" s="3" cm="1">
        <f t="array" ref="J504">_xlfn.XLOOKUP(D504,[3]Sheet1!$B$2:$B$78,_xlfn.XLOOKUP(E504,[3]Sheet1!$C$1:$AC$1,[3]Sheet1!$C$2:$AC$78))</f>
        <v>250</v>
      </c>
      <c r="K504" s="3">
        <f t="shared" si="21"/>
        <v>250000</v>
      </c>
      <c r="L504" s="3">
        <f t="shared" si="23"/>
        <v>118012</v>
      </c>
      <c r="M504" s="10">
        <v>98.419858791884494</v>
      </c>
      <c r="N504" s="10">
        <v>8.6790483311120994</v>
      </c>
    </row>
    <row r="505" spans="1:14" hidden="1" x14ac:dyDescent="0.3">
      <c r="A505" s="5">
        <v>56</v>
      </c>
      <c r="B505" s="5" t="str">
        <f>_xlfn.XLOOKUP(D505,'[1]Viirs77-Sol'!$C$2:$C$694,'[1]Viirs77-Sol'!$A$2:$A$694)</f>
        <v>TH-82</v>
      </c>
      <c r="C505" s="5" t="str">
        <f>_xlfn.XLOOKUP(D505,cleanprovinces!$B:$B,cleanprovinces!$A:$A)</f>
        <v>SO</v>
      </c>
      <c r="D505" s="5" t="s">
        <v>69</v>
      </c>
      <c r="E505" s="6">
        <v>2021</v>
      </c>
      <c r="F505" s="7" cm="1">
        <f t="array" ref="F505">_xlfn.XLOOKUP(D505&amp;E505,'[1]Viirs77-Sol'!$C$2:$C$694&amp;'[1]Viirs77-Sol'!$D$2:$D$694,'[1]Viirs77-Sol'!$E$2:$E$694)</f>
        <v>12067.915150000001</v>
      </c>
      <c r="G505" s="7" cm="1">
        <f t="array" ref="G505">_xlfn.XLOOKUP(B505&amp;E505,'[2]Viirs77-Mean'!$A$2:$A$694&amp;'[2]Viirs77-Mean'!$D$2:$D$694,'[2]Viirs77-Mean'!$E$2:$E$694)</f>
        <v>0.668414391</v>
      </c>
      <c r="H505" s="9" cm="1">
        <f t="array" ref="H505">_xlfn.XLOOKUP(D505,cleanprovinces!$B$2:$B$78,_xlfn.XLOOKUP(panel!E505,cleanprovinces!$C$1:$AC$1,cleanprovinces!$C$2:$AC$78,"no",0,1))</f>
        <v>26408</v>
      </c>
      <c r="I505" s="4">
        <f t="shared" si="22"/>
        <v>26408000000</v>
      </c>
      <c r="J505" s="3" cm="1">
        <f t="array" ref="J505">_xlfn.XLOOKUP(D505,[3]Sheet1!$B$2:$B$78,_xlfn.XLOOKUP(E505,[3]Sheet1!$C$1:$AC$1,[3]Sheet1!$C$2:$AC$78))</f>
        <v>249</v>
      </c>
      <c r="K505" s="3">
        <f t="shared" si="21"/>
        <v>249000</v>
      </c>
      <c r="L505" s="3">
        <f t="shared" si="23"/>
        <v>106056.2248995984</v>
      </c>
      <c r="M505" s="10">
        <v>98.419858791884494</v>
      </c>
      <c r="N505" s="10">
        <v>8.6790483311120994</v>
      </c>
    </row>
    <row r="506" spans="1:14" hidden="1" x14ac:dyDescent="0.3">
      <c r="A506" s="5">
        <v>55</v>
      </c>
      <c r="B506" s="5" t="str">
        <f>_xlfn.XLOOKUP(D506,'[1]Viirs77-Sol'!$C$2:$C$694,'[1]Viirs77-Sol'!$A$2:$A$694)</f>
        <v>TH-93</v>
      </c>
      <c r="C506" s="5" t="str">
        <f>_xlfn.XLOOKUP(D506,cleanprovinces!$B:$B,cleanprovinces!$A:$A)</f>
        <v>SO</v>
      </c>
      <c r="D506" s="5" t="s">
        <v>78</v>
      </c>
      <c r="E506" s="6">
        <v>2014</v>
      </c>
      <c r="F506" s="7" cm="1">
        <f t="array" ref="F506">_xlfn.XLOOKUP(D506&amp;E506,'[1]Viirs77-Sol'!$C$2:$C$694&amp;'[1]Viirs77-Sol'!$D$2:$D$694,'[1]Viirs77-Sol'!$E$2:$E$694)</f>
        <v>5998.8848310000003</v>
      </c>
      <c r="G506" s="7" cm="1">
        <f t="array" ref="G506">_xlfn.XLOOKUP(B506&amp;E506,'[2]Viirs77-Mean'!$A$2:$A$694&amp;'[2]Viirs77-Mean'!$D$2:$D$694,'[2]Viirs77-Mean'!$E$2:$E$694)</f>
        <v>0.38542374699999998</v>
      </c>
      <c r="H506" s="9" cm="1">
        <f t="array" ref="H506">_xlfn.XLOOKUP(D506,cleanprovinces!$B$2:$B$78,_xlfn.XLOOKUP(panel!E506,cleanprovinces!$C$1:$AC$1,cleanprovinces!$C$2:$AC$78,"no",0,1))</f>
        <v>18419</v>
      </c>
      <c r="I506" s="4">
        <f t="shared" si="22"/>
        <v>18419000000</v>
      </c>
      <c r="J506" s="3" cm="1">
        <f t="array" ref="J506">_xlfn.XLOOKUP(D506,[3]Sheet1!$B$2:$B$78,_xlfn.XLOOKUP(E506,[3]Sheet1!$C$1:$AC$1,[3]Sheet1!$C$2:$AC$78))</f>
        <v>486</v>
      </c>
      <c r="K506" s="3">
        <f t="shared" si="21"/>
        <v>486000</v>
      </c>
      <c r="L506" s="3">
        <f t="shared" si="23"/>
        <v>37899.176954732509</v>
      </c>
      <c r="M506" s="10">
        <v>100.069809002144</v>
      </c>
      <c r="N506" s="10">
        <v>7.5107859463014899</v>
      </c>
    </row>
    <row r="507" spans="1:14" hidden="1" x14ac:dyDescent="0.3">
      <c r="A507" s="5">
        <v>55</v>
      </c>
      <c r="B507" s="5" t="str">
        <f>_xlfn.XLOOKUP(D507,'[1]Viirs77-Sol'!$C$2:$C$694,'[1]Viirs77-Sol'!$A$2:$A$694)</f>
        <v>TH-93</v>
      </c>
      <c r="C507" s="5" t="str">
        <f>_xlfn.XLOOKUP(D507,cleanprovinces!$B:$B,cleanprovinces!$A:$A)</f>
        <v>SO</v>
      </c>
      <c r="D507" s="5" t="s">
        <v>78</v>
      </c>
      <c r="E507" s="6">
        <v>2015</v>
      </c>
      <c r="F507" s="7" cm="1">
        <f t="array" ref="F507">_xlfn.XLOOKUP(D507&amp;E507,'[1]Viirs77-Sol'!$C$2:$C$694&amp;'[1]Viirs77-Sol'!$D$2:$D$694,'[1]Viirs77-Sol'!$E$2:$E$694)</f>
        <v>6858.7050829999998</v>
      </c>
      <c r="G507" s="7" cm="1">
        <f t="array" ref="G507">_xlfn.XLOOKUP(B507&amp;E507,'[2]Viirs77-Mean'!$A$2:$A$694&amp;'[2]Viirs77-Mean'!$D$2:$D$694,'[2]Viirs77-Mean'!$E$2:$E$694)</f>
        <v>0.440666538</v>
      </c>
      <c r="H507" s="9" cm="1">
        <f t="array" ref="H507">_xlfn.XLOOKUP(D507,cleanprovinces!$B$2:$B$78,_xlfn.XLOOKUP(panel!E507,cleanprovinces!$C$1:$AC$1,cleanprovinces!$C$2:$AC$78,"no",0,1))</f>
        <v>18562</v>
      </c>
      <c r="I507" s="4">
        <f t="shared" si="22"/>
        <v>18562000000</v>
      </c>
      <c r="J507" s="3" cm="1">
        <f t="array" ref="J507">_xlfn.XLOOKUP(D507,[3]Sheet1!$B$2:$B$78,_xlfn.XLOOKUP(E507,[3]Sheet1!$C$1:$AC$1,[3]Sheet1!$C$2:$AC$78))</f>
        <v>488</v>
      </c>
      <c r="K507" s="3">
        <f t="shared" si="21"/>
        <v>488000</v>
      </c>
      <c r="L507" s="3">
        <f t="shared" si="23"/>
        <v>38036.885245901642</v>
      </c>
      <c r="M507" s="10">
        <v>100.069809002144</v>
      </c>
      <c r="N507" s="10">
        <v>7.5107859463014899</v>
      </c>
    </row>
    <row r="508" spans="1:14" hidden="1" x14ac:dyDescent="0.3">
      <c r="A508" s="5">
        <v>55</v>
      </c>
      <c r="B508" s="5" t="str">
        <f>_xlfn.XLOOKUP(D508,'[1]Viirs77-Sol'!$C$2:$C$694,'[1]Viirs77-Sol'!$A$2:$A$694)</f>
        <v>TH-93</v>
      </c>
      <c r="C508" s="5" t="str">
        <f>_xlfn.XLOOKUP(D508,cleanprovinces!$B:$B,cleanprovinces!$A:$A)</f>
        <v>SO</v>
      </c>
      <c r="D508" s="5" t="s">
        <v>78</v>
      </c>
      <c r="E508" s="6">
        <v>2016</v>
      </c>
      <c r="F508" s="7" cm="1">
        <f t="array" ref="F508">_xlfn.XLOOKUP(D508&amp;E508,'[1]Viirs77-Sol'!$C$2:$C$694&amp;'[1]Viirs77-Sol'!$D$2:$D$694,'[1]Viirs77-Sol'!$E$2:$E$694)</f>
        <v>7172.1223540000001</v>
      </c>
      <c r="G508" s="7" cm="1">
        <f t="array" ref="G508">_xlfn.XLOOKUP(B508&amp;E508,'[2]Viirs77-Mean'!$A$2:$A$694&amp;'[2]Viirs77-Mean'!$D$2:$D$694,'[2]Viirs77-Mean'!$E$2:$E$694)</f>
        <v>0.46080335700000002</v>
      </c>
      <c r="H508" s="9" cm="1">
        <f t="array" ref="H508">_xlfn.XLOOKUP(D508,cleanprovinces!$B$2:$B$78,_xlfn.XLOOKUP(panel!E508,cleanprovinces!$C$1:$AC$1,cleanprovinces!$C$2:$AC$78,"no",0,1))</f>
        <v>20055</v>
      </c>
      <c r="I508" s="4">
        <f t="shared" si="22"/>
        <v>20055000000</v>
      </c>
      <c r="J508" s="3" cm="1">
        <f t="array" ref="J508">_xlfn.XLOOKUP(D508,[3]Sheet1!$B$2:$B$78,_xlfn.XLOOKUP(E508,[3]Sheet1!$C$1:$AC$1,[3]Sheet1!$C$2:$AC$78))</f>
        <v>489</v>
      </c>
      <c r="K508" s="3">
        <f t="shared" si="21"/>
        <v>489000</v>
      </c>
      <c r="L508" s="3">
        <f t="shared" si="23"/>
        <v>41012.269938650308</v>
      </c>
      <c r="M508" s="10">
        <v>100.069809002144</v>
      </c>
      <c r="N508" s="10">
        <v>7.5107859463014899</v>
      </c>
    </row>
    <row r="509" spans="1:14" hidden="1" x14ac:dyDescent="0.3">
      <c r="A509" s="5">
        <v>55</v>
      </c>
      <c r="B509" s="5" t="str">
        <f>_xlfn.XLOOKUP(D509,'[1]Viirs77-Sol'!$C$2:$C$694,'[1]Viirs77-Sol'!$A$2:$A$694)</f>
        <v>TH-93</v>
      </c>
      <c r="C509" s="5" t="str">
        <f>_xlfn.XLOOKUP(D509,cleanprovinces!$B:$B,cleanprovinces!$A:$A)</f>
        <v>SO</v>
      </c>
      <c r="D509" s="5" t="s">
        <v>78</v>
      </c>
      <c r="E509" s="6">
        <v>2017</v>
      </c>
      <c r="F509" s="7" cm="1">
        <f t="array" ref="F509">_xlfn.XLOOKUP(D509&amp;E509,'[1]Viirs77-Sol'!$C$2:$C$694&amp;'[1]Viirs77-Sol'!$D$2:$D$694,'[1]Viirs77-Sol'!$E$2:$E$694)</f>
        <v>8591.3694790000009</v>
      </c>
      <c r="G509" s="7" cm="1">
        <f t="array" ref="G509">_xlfn.XLOOKUP(B509&amp;E509,'[2]Viirs77-Mean'!$A$2:$A$694&amp;'[2]Viirs77-Mean'!$D$2:$D$694,'[2]Viirs77-Mean'!$E$2:$E$694)</f>
        <v>0.55198889600000001</v>
      </c>
      <c r="H509" s="9" cm="1">
        <f t="array" ref="H509">_xlfn.XLOOKUP(D509,cleanprovinces!$B$2:$B$78,_xlfn.XLOOKUP(panel!E509,cleanprovinces!$C$1:$AC$1,cleanprovinces!$C$2:$AC$78,"no",0,1))</f>
        <v>19435</v>
      </c>
      <c r="I509" s="4">
        <f t="shared" si="22"/>
        <v>19435000000</v>
      </c>
      <c r="J509" s="3" cm="1">
        <f t="array" ref="J509">_xlfn.XLOOKUP(D509,[3]Sheet1!$B$2:$B$78,_xlfn.XLOOKUP(E509,[3]Sheet1!$C$1:$AC$1,[3]Sheet1!$C$2:$AC$78))</f>
        <v>490</v>
      </c>
      <c r="K509" s="3">
        <f t="shared" si="21"/>
        <v>490000</v>
      </c>
      <c r="L509" s="3">
        <f t="shared" si="23"/>
        <v>39663.265306122448</v>
      </c>
      <c r="M509" s="10">
        <v>100.069809002144</v>
      </c>
      <c r="N509" s="10">
        <v>7.5107859463014899</v>
      </c>
    </row>
    <row r="510" spans="1:14" hidden="1" x14ac:dyDescent="0.3">
      <c r="A510" s="5">
        <v>55</v>
      </c>
      <c r="B510" s="5" t="str">
        <f>_xlfn.XLOOKUP(D510,'[1]Viirs77-Sol'!$C$2:$C$694,'[1]Viirs77-Sol'!$A$2:$A$694)</f>
        <v>TH-93</v>
      </c>
      <c r="C510" s="5" t="str">
        <f>_xlfn.XLOOKUP(D510,cleanprovinces!$B:$B,cleanprovinces!$A:$A)</f>
        <v>SO</v>
      </c>
      <c r="D510" s="5" t="s">
        <v>78</v>
      </c>
      <c r="E510" s="6">
        <v>2018</v>
      </c>
      <c r="F510" s="7" cm="1">
        <f t="array" ref="F510">_xlfn.XLOOKUP(D510&amp;E510,'[1]Viirs77-Sol'!$C$2:$C$694&amp;'[1]Viirs77-Sol'!$D$2:$D$694,'[1]Viirs77-Sol'!$E$2:$E$694)</f>
        <v>10081.199210000001</v>
      </c>
      <c r="G510" s="7" cm="1">
        <f t="array" ref="G510">_xlfn.XLOOKUP(B510&amp;E510,'[2]Viirs77-Mean'!$A$2:$A$694&amp;'[2]Viirs77-Mean'!$D$2:$D$694,'[2]Viirs77-Mean'!$E$2:$E$694)</f>
        <v>0.64770931300000001</v>
      </c>
      <c r="H510" s="9" cm="1">
        <f t="array" ref="H510">_xlfn.XLOOKUP(D510,cleanprovinces!$B$2:$B$78,_xlfn.XLOOKUP(panel!E510,cleanprovinces!$C$1:$AC$1,cleanprovinces!$C$2:$AC$78,"no",0,1))</f>
        <v>20601</v>
      </c>
      <c r="I510" s="4">
        <f t="shared" si="22"/>
        <v>20601000000</v>
      </c>
      <c r="J510" s="3" cm="1">
        <f t="array" ref="J510">_xlfn.XLOOKUP(D510,[3]Sheet1!$B$2:$B$78,_xlfn.XLOOKUP(E510,[3]Sheet1!$C$1:$AC$1,[3]Sheet1!$C$2:$AC$78))</f>
        <v>492</v>
      </c>
      <c r="K510" s="3">
        <f t="shared" si="21"/>
        <v>492000</v>
      </c>
      <c r="L510" s="3">
        <f t="shared" si="23"/>
        <v>41871.951219512193</v>
      </c>
      <c r="M510" s="10">
        <v>100.069809002144</v>
      </c>
      <c r="N510" s="10">
        <v>7.5107859463014899</v>
      </c>
    </row>
    <row r="511" spans="1:14" hidden="1" x14ac:dyDescent="0.3">
      <c r="A511" s="5">
        <v>55</v>
      </c>
      <c r="B511" s="5" t="str">
        <f>_xlfn.XLOOKUP(D511,'[1]Viirs77-Sol'!$C$2:$C$694,'[1]Viirs77-Sol'!$A$2:$A$694)</f>
        <v>TH-93</v>
      </c>
      <c r="C511" s="5" t="str">
        <f>_xlfn.XLOOKUP(D511,cleanprovinces!$B:$B,cleanprovinces!$A:$A)</f>
        <v>SO</v>
      </c>
      <c r="D511" s="5" t="s">
        <v>78</v>
      </c>
      <c r="E511" s="6">
        <v>2019</v>
      </c>
      <c r="F511" s="7" cm="1">
        <f t="array" ref="F511">_xlfn.XLOOKUP(D511&amp;E511,'[1]Viirs77-Sol'!$C$2:$C$694&amp;'[1]Viirs77-Sol'!$D$2:$D$694,'[1]Viirs77-Sol'!$E$2:$E$694)</f>
        <v>11207.20325</v>
      </c>
      <c r="G511" s="7" cm="1">
        <f t="array" ref="G511">_xlfn.XLOOKUP(B511&amp;E511,'[2]Viirs77-Mean'!$A$2:$A$694&amp;'[2]Viirs77-Mean'!$D$2:$D$694,'[2]Viirs77-Mean'!$E$2:$E$694)</f>
        <v>0.72005420899999995</v>
      </c>
      <c r="H511" s="9" cm="1">
        <f t="array" ref="H511">_xlfn.XLOOKUP(D511,cleanprovinces!$B$2:$B$78,_xlfn.XLOOKUP(panel!E511,cleanprovinces!$C$1:$AC$1,cleanprovinces!$C$2:$AC$78,"no",0,1))</f>
        <v>20588</v>
      </c>
      <c r="I511" s="4">
        <f t="shared" si="22"/>
        <v>20588000000</v>
      </c>
      <c r="J511" s="3" cm="1">
        <f t="array" ref="J511">_xlfn.XLOOKUP(D511,[3]Sheet1!$B$2:$B$78,_xlfn.XLOOKUP(E511,[3]Sheet1!$C$1:$AC$1,[3]Sheet1!$C$2:$AC$78))</f>
        <v>492</v>
      </c>
      <c r="K511" s="3">
        <f t="shared" si="21"/>
        <v>492000</v>
      </c>
      <c r="L511" s="3">
        <f t="shared" si="23"/>
        <v>41845.528455284555</v>
      </c>
      <c r="M511" s="10">
        <v>100.069809002144</v>
      </c>
      <c r="N511" s="10">
        <v>7.5107859463014899</v>
      </c>
    </row>
    <row r="512" spans="1:14" hidden="1" x14ac:dyDescent="0.3">
      <c r="A512" s="5">
        <v>55</v>
      </c>
      <c r="B512" s="5" t="str">
        <f>_xlfn.XLOOKUP(D512,'[1]Viirs77-Sol'!$C$2:$C$694,'[1]Viirs77-Sol'!$A$2:$A$694)</f>
        <v>TH-93</v>
      </c>
      <c r="C512" s="5" t="str">
        <f>_xlfn.XLOOKUP(D512,cleanprovinces!$B:$B,cleanprovinces!$A:$A)</f>
        <v>SO</v>
      </c>
      <c r="D512" s="5" t="s">
        <v>78</v>
      </c>
      <c r="E512" s="6">
        <v>2020</v>
      </c>
      <c r="F512" s="7" cm="1">
        <f t="array" ref="F512">_xlfn.XLOOKUP(D512&amp;E512,'[1]Viirs77-Sol'!$C$2:$C$694&amp;'[1]Viirs77-Sol'!$D$2:$D$694,'[1]Viirs77-Sol'!$E$2:$E$694)</f>
        <v>12054.78427</v>
      </c>
      <c r="G512" s="7" cm="1">
        <f t="array" ref="G512">_xlfn.XLOOKUP(B512&amp;E512,'[2]Viirs77-Mean'!$A$2:$A$694&amp;'[2]Viirs77-Mean'!$D$2:$D$694,'[2]Viirs77-Mean'!$E$2:$E$694)</f>
        <v>0.77451063899999995</v>
      </c>
      <c r="H512" s="9" cm="1">
        <f t="array" ref="H512">_xlfn.XLOOKUP(D512,cleanprovinces!$B$2:$B$78,_xlfn.XLOOKUP(panel!E512,cleanprovinces!$C$1:$AC$1,cleanprovinces!$C$2:$AC$78,"no",0,1))</f>
        <v>20663</v>
      </c>
      <c r="I512" s="4">
        <f t="shared" si="22"/>
        <v>20663000000</v>
      </c>
      <c r="J512" s="3" cm="1">
        <f t="array" ref="J512">_xlfn.XLOOKUP(D512,[3]Sheet1!$B$2:$B$78,_xlfn.XLOOKUP(E512,[3]Sheet1!$C$1:$AC$1,[3]Sheet1!$C$2:$AC$78))</f>
        <v>492</v>
      </c>
      <c r="K512" s="3">
        <f t="shared" si="21"/>
        <v>492000</v>
      </c>
      <c r="L512" s="3">
        <f t="shared" si="23"/>
        <v>41997.967479674793</v>
      </c>
      <c r="M512" s="10">
        <v>100.069809002144</v>
      </c>
      <c r="N512" s="10">
        <v>7.5107859463014899</v>
      </c>
    </row>
    <row r="513" spans="1:14" hidden="1" x14ac:dyDescent="0.3">
      <c r="A513" s="5">
        <v>55</v>
      </c>
      <c r="B513" s="5" t="str">
        <f>_xlfn.XLOOKUP(D513,'[1]Viirs77-Sol'!$C$2:$C$694,'[1]Viirs77-Sol'!$A$2:$A$694)</f>
        <v>TH-93</v>
      </c>
      <c r="C513" s="5" t="str">
        <f>_xlfn.XLOOKUP(D513,cleanprovinces!$B:$B,cleanprovinces!$A:$A)</f>
        <v>SO</v>
      </c>
      <c r="D513" s="5" t="s">
        <v>78</v>
      </c>
      <c r="E513" s="6">
        <v>2021</v>
      </c>
      <c r="F513" s="7" cm="1">
        <f t="array" ref="F513">_xlfn.XLOOKUP(D513&amp;E513,'[1]Viirs77-Sol'!$C$2:$C$694&amp;'[1]Viirs77-Sol'!$D$2:$D$694,'[1]Viirs77-Sol'!$E$2:$E$694)</f>
        <v>14162.600340000001</v>
      </c>
      <c r="G513" s="7" cm="1">
        <f t="array" ref="G513">_xlfn.XLOOKUP(B513&amp;E513,'[2]Viirs77-Mean'!$A$2:$A$694&amp;'[2]Viirs77-Mean'!$D$2:$D$694,'[2]Viirs77-Mean'!$E$2:$E$694)</f>
        <v>0.909936203</v>
      </c>
      <c r="H513" s="9" cm="1">
        <f t="array" ref="H513">_xlfn.XLOOKUP(D513,cleanprovinces!$B$2:$B$78,_xlfn.XLOOKUP(panel!E513,cleanprovinces!$C$1:$AC$1,cleanprovinces!$C$2:$AC$78,"no",0,1))</f>
        <v>21165</v>
      </c>
      <c r="I513" s="4">
        <f t="shared" si="22"/>
        <v>21165000000</v>
      </c>
      <c r="J513" s="3" cm="1">
        <f t="array" ref="J513">_xlfn.XLOOKUP(D513,[3]Sheet1!$B$2:$B$78,_xlfn.XLOOKUP(E513,[3]Sheet1!$C$1:$AC$1,[3]Sheet1!$C$2:$AC$78))</f>
        <v>492</v>
      </c>
      <c r="K513" s="3">
        <f t="shared" si="21"/>
        <v>492000</v>
      </c>
      <c r="L513" s="3">
        <f t="shared" si="23"/>
        <v>43018.292682926833</v>
      </c>
      <c r="M513" s="10">
        <v>100.069809002144</v>
      </c>
      <c r="N513" s="10">
        <v>7.5107859463014899</v>
      </c>
    </row>
    <row r="514" spans="1:14" hidden="1" x14ac:dyDescent="0.3">
      <c r="A514" s="5">
        <v>44</v>
      </c>
      <c r="B514" s="5" t="str">
        <f>_xlfn.XLOOKUP(D514,'[1]Viirs77-Sol'!$C$2:$C$694,'[1]Viirs77-Sol'!$A$2:$A$694)</f>
        <v>TH-83</v>
      </c>
      <c r="C514" s="5" t="str">
        <f>_xlfn.XLOOKUP(D514,cleanprovinces!$B:$B,cleanprovinces!$A:$A)</f>
        <v>SO</v>
      </c>
      <c r="D514" s="5" t="s">
        <v>66</v>
      </c>
      <c r="E514" s="6">
        <v>2014</v>
      </c>
      <c r="F514" s="7" cm="1">
        <f t="array" ref="F514">_xlfn.XLOOKUP(D514&amp;E514,'[1]Viirs77-Sol'!$C$2:$C$694&amp;'[1]Viirs77-Sol'!$D$2:$D$694,'[1]Viirs77-Sol'!$E$2:$E$694)</f>
        <v>16568.553469999999</v>
      </c>
      <c r="G514" s="7" cm="1">
        <f t="array" ref="G514">_xlfn.XLOOKUP(B514&amp;E514,'[2]Viirs77-Mean'!$A$2:$A$694&amp;'[2]Viirs77-Mean'!$D$2:$D$694,'[2]Viirs77-Mean'!$E$2:$E$694)</f>
        <v>7.0325866299999999</v>
      </c>
      <c r="H514" s="9" cm="1">
        <f t="array" ref="H514">_xlfn.XLOOKUP(D514,cleanprovinces!$B$2:$B$78,_xlfn.XLOOKUP(panel!E514,cleanprovinces!$C$1:$AC$1,cleanprovinces!$C$2:$AC$78,"no",0,1))</f>
        <v>116369</v>
      </c>
      <c r="I514" s="4">
        <f t="shared" si="22"/>
        <v>116369000000</v>
      </c>
      <c r="J514" s="3" cm="1">
        <f t="array" ref="J514">_xlfn.XLOOKUP(D514,[3]Sheet1!$B$2:$B$78,_xlfn.XLOOKUP(E514,[3]Sheet1!$C$1:$AC$1,[3]Sheet1!$C$2:$AC$78))</f>
        <v>552</v>
      </c>
      <c r="K514" s="3">
        <f t="shared" ref="K514:K577" si="24">J514*1000</f>
        <v>552000</v>
      </c>
      <c r="L514" s="3">
        <f t="shared" si="23"/>
        <v>210813.40579710144</v>
      </c>
      <c r="M514" s="10">
        <v>98.345398348810605</v>
      </c>
      <c r="N514" s="10">
        <v>7.9658279481673899</v>
      </c>
    </row>
    <row r="515" spans="1:14" hidden="1" x14ac:dyDescent="0.3">
      <c r="A515" s="5">
        <v>44</v>
      </c>
      <c r="B515" s="5" t="str">
        <f>_xlfn.XLOOKUP(D515,'[1]Viirs77-Sol'!$C$2:$C$694,'[1]Viirs77-Sol'!$A$2:$A$694)</f>
        <v>TH-83</v>
      </c>
      <c r="C515" s="5" t="str">
        <f>_xlfn.XLOOKUP(D515,cleanprovinces!$B:$B,cleanprovinces!$A:$A)</f>
        <v>SO</v>
      </c>
      <c r="D515" s="5" t="s">
        <v>66</v>
      </c>
      <c r="E515" s="6">
        <v>2015</v>
      </c>
      <c r="F515" s="7" cm="1">
        <f t="array" ref="F515">_xlfn.XLOOKUP(D515&amp;E515,'[1]Viirs77-Sol'!$C$2:$C$694&amp;'[1]Viirs77-Sol'!$D$2:$D$694,'[1]Viirs77-Sol'!$E$2:$E$694)</f>
        <v>16813.94326</v>
      </c>
      <c r="G515" s="7" cm="1">
        <f t="array" ref="G515">_xlfn.XLOOKUP(B515&amp;E515,'[2]Viirs77-Mean'!$A$2:$A$694&amp;'[2]Viirs77-Mean'!$D$2:$D$694,'[2]Viirs77-Mean'!$E$2:$E$694)</f>
        <v>7.1367432749999997</v>
      </c>
      <c r="H515" s="9" cm="1">
        <f t="array" ref="H515">_xlfn.XLOOKUP(D515,cleanprovinces!$B$2:$B$78,_xlfn.XLOOKUP(panel!E515,cleanprovinces!$C$1:$AC$1,cleanprovinces!$C$2:$AC$78,"no",0,1))</f>
        <v>129894</v>
      </c>
      <c r="I515" s="4">
        <f t="shared" ref="I515:I578" si="25">H515*1000000</f>
        <v>129894000000</v>
      </c>
      <c r="J515" s="3" cm="1">
        <f t="array" ref="J515">_xlfn.XLOOKUP(D515,[3]Sheet1!$B$2:$B$78,_xlfn.XLOOKUP(E515,[3]Sheet1!$C$1:$AC$1,[3]Sheet1!$C$2:$AC$78))</f>
        <v>559</v>
      </c>
      <c r="K515" s="3">
        <f t="shared" si="24"/>
        <v>559000</v>
      </c>
      <c r="L515" s="3">
        <f t="shared" ref="L515:L578" si="26">I515/K515</f>
        <v>232368.51520572451</v>
      </c>
      <c r="M515" s="10">
        <v>98.345398348810605</v>
      </c>
      <c r="N515" s="10">
        <v>7.9658279481673899</v>
      </c>
    </row>
    <row r="516" spans="1:14" hidden="1" x14ac:dyDescent="0.3">
      <c r="A516" s="5">
        <v>44</v>
      </c>
      <c r="B516" s="5" t="str">
        <f>_xlfn.XLOOKUP(D516,'[1]Viirs77-Sol'!$C$2:$C$694,'[1]Viirs77-Sol'!$A$2:$A$694)</f>
        <v>TH-83</v>
      </c>
      <c r="C516" s="5" t="str">
        <f>_xlfn.XLOOKUP(D516,cleanprovinces!$B:$B,cleanprovinces!$A:$A)</f>
        <v>SO</v>
      </c>
      <c r="D516" s="5" t="s">
        <v>66</v>
      </c>
      <c r="E516" s="6">
        <v>2016</v>
      </c>
      <c r="F516" s="7" cm="1">
        <f t="array" ref="F516">_xlfn.XLOOKUP(D516&amp;E516,'[1]Viirs77-Sol'!$C$2:$C$694&amp;'[1]Viirs77-Sol'!$D$2:$D$694,'[1]Viirs77-Sol'!$E$2:$E$694)</f>
        <v>18064.539970000002</v>
      </c>
      <c r="G516" s="7" cm="1">
        <f t="array" ref="G516">_xlfn.XLOOKUP(B516&amp;E516,'[2]Viirs77-Mean'!$A$2:$A$694&amp;'[2]Viirs77-Mean'!$D$2:$D$694,'[2]Viirs77-Mean'!$E$2:$E$694)</f>
        <v>7.6675638900000003</v>
      </c>
      <c r="H516" s="9" cm="1">
        <f t="array" ref="H516">_xlfn.XLOOKUP(D516,cleanprovinces!$B$2:$B$78,_xlfn.XLOOKUP(panel!E516,cleanprovinces!$C$1:$AC$1,cleanprovinces!$C$2:$AC$78,"no",0,1))</f>
        <v>145042</v>
      </c>
      <c r="I516" s="4">
        <f t="shared" si="25"/>
        <v>145042000000</v>
      </c>
      <c r="J516" s="3" cm="1">
        <f t="array" ref="J516">_xlfn.XLOOKUP(D516,[3]Sheet1!$B$2:$B$78,_xlfn.XLOOKUP(E516,[3]Sheet1!$C$1:$AC$1,[3]Sheet1!$C$2:$AC$78))</f>
        <v>566</v>
      </c>
      <c r="K516" s="3">
        <f t="shared" si="24"/>
        <v>566000</v>
      </c>
      <c r="L516" s="3">
        <f t="shared" si="26"/>
        <v>256257.95053003533</v>
      </c>
      <c r="M516" s="10">
        <v>98.345398348810605</v>
      </c>
      <c r="N516" s="10">
        <v>7.9658279481673899</v>
      </c>
    </row>
    <row r="517" spans="1:14" hidden="1" x14ac:dyDescent="0.3">
      <c r="A517" s="5">
        <v>44</v>
      </c>
      <c r="B517" s="5" t="str">
        <f>_xlfn.XLOOKUP(D517,'[1]Viirs77-Sol'!$C$2:$C$694,'[1]Viirs77-Sol'!$A$2:$A$694)</f>
        <v>TH-83</v>
      </c>
      <c r="C517" s="5" t="str">
        <f>_xlfn.XLOOKUP(D517,cleanprovinces!$B:$B,cleanprovinces!$A:$A)</f>
        <v>SO</v>
      </c>
      <c r="D517" s="5" t="s">
        <v>66</v>
      </c>
      <c r="E517" s="6">
        <v>2017</v>
      </c>
      <c r="F517" s="7" cm="1">
        <f t="array" ref="F517">_xlfn.XLOOKUP(D517&amp;E517,'[1]Viirs77-Sol'!$C$2:$C$694&amp;'[1]Viirs77-Sol'!$D$2:$D$694,'[1]Viirs77-Sol'!$E$2:$E$694)</f>
        <v>19518.778999999999</v>
      </c>
      <c r="G517" s="7" cm="1">
        <f t="array" ref="G517">_xlfn.XLOOKUP(B517&amp;E517,'[2]Viirs77-Mean'!$A$2:$A$694&amp;'[2]Viirs77-Mean'!$D$2:$D$694,'[2]Viirs77-Mean'!$E$2:$E$694)</f>
        <v>8.2848212720000003</v>
      </c>
      <c r="H517" s="9" cm="1">
        <f t="array" ref="H517">_xlfn.XLOOKUP(D517,cleanprovinces!$B$2:$B$78,_xlfn.XLOOKUP(panel!E517,cleanprovinces!$C$1:$AC$1,cleanprovinces!$C$2:$AC$78,"no",0,1))</f>
        <v>151683</v>
      </c>
      <c r="I517" s="4">
        <f t="shared" si="25"/>
        <v>151683000000</v>
      </c>
      <c r="J517" s="3" cm="1">
        <f t="array" ref="J517">_xlfn.XLOOKUP(D517,[3]Sheet1!$B$2:$B$78,_xlfn.XLOOKUP(E517,[3]Sheet1!$C$1:$AC$1,[3]Sheet1!$C$2:$AC$78))</f>
        <v>573</v>
      </c>
      <c r="K517" s="3">
        <f t="shared" si="24"/>
        <v>573000</v>
      </c>
      <c r="L517" s="3">
        <f t="shared" si="26"/>
        <v>264717.27748691099</v>
      </c>
      <c r="M517" s="10">
        <v>98.345398348810605</v>
      </c>
      <c r="N517" s="10">
        <v>7.9658279481673899</v>
      </c>
    </row>
    <row r="518" spans="1:14" hidden="1" x14ac:dyDescent="0.3">
      <c r="A518" s="5">
        <v>44</v>
      </c>
      <c r="B518" s="5" t="str">
        <f>_xlfn.XLOOKUP(D518,'[1]Viirs77-Sol'!$C$2:$C$694,'[1]Viirs77-Sol'!$A$2:$A$694)</f>
        <v>TH-83</v>
      </c>
      <c r="C518" s="5" t="str">
        <f>_xlfn.XLOOKUP(D518,cleanprovinces!$B:$B,cleanprovinces!$A:$A)</f>
        <v>SO</v>
      </c>
      <c r="D518" s="5" t="s">
        <v>66</v>
      </c>
      <c r="E518" s="6">
        <v>2018</v>
      </c>
      <c r="F518" s="7" cm="1">
        <f t="array" ref="F518">_xlfn.XLOOKUP(D518&amp;E518,'[1]Viirs77-Sol'!$C$2:$C$694&amp;'[1]Viirs77-Sol'!$D$2:$D$694,'[1]Viirs77-Sol'!$E$2:$E$694)</f>
        <v>19721.742750000001</v>
      </c>
      <c r="G518" s="7" cm="1">
        <f t="array" ref="G518">_xlfn.XLOOKUP(B518&amp;E518,'[2]Viirs77-Mean'!$A$2:$A$694&amp;'[2]Viirs77-Mean'!$D$2:$D$694,'[2]Viirs77-Mean'!$E$2:$E$694)</f>
        <v>8.3709700199999997</v>
      </c>
      <c r="H518" s="9" cm="1">
        <f t="array" ref="H518">_xlfn.XLOOKUP(D518,cleanprovinces!$B$2:$B$78,_xlfn.XLOOKUP(panel!E518,cleanprovinces!$C$1:$AC$1,cleanprovinces!$C$2:$AC$78,"no",0,1))</f>
        <v>163872</v>
      </c>
      <c r="I518" s="4">
        <f t="shared" si="25"/>
        <v>163872000000</v>
      </c>
      <c r="J518" s="3" cm="1">
        <f t="array" ref="J518">_xlfn.XLOOKUP(D518,[3]Sheet1!$B$2:$B$78,_xlfn.XLOOKUP(E518,[3]Sheet1!$C$1:$AC$1,[3]Sheet1!$C$2:$AC$78))</f>
        <v>580</v>
      </c>
      <c r="K518" s="3">
        <f t="shared" si="24"/>
        <v>580000</v>
      </c>
      <c r="L518" s="3">
        <f t="shared" si="26"/>
        <v>282537.93103448278</v>
      </c>
      <c r="M518" s="10">
        <v>98.345398348810605</v>
      </c>
      <c r="N518" s="10">
        <v>7.9658279481673899</v>
      </c>
    </row>
    <row r="519" spans="1:14" hidden="1" x14ac:dyDescent="0.3">
      <c r="A519" s="5">
        <v>44</v>
      </c>
      <c r="B519" s="5" t="str">
        <f>_xlfn.XLOOKUP(D519,'[1]Viirs77-Sol'!$C$2:$C$694,'[1]Viirs77-Sol'!$A$2:$A$694)</f>
        <v>TH-83</v>
      </c>
      <c r="C519" s="5" t="str">
        <f>_xlfn.XLOOKUP(D519,cleanprovinces!$B:$B,cleanprovinces!$A:$A)</f>
        <v>SO</v>
      </c>
      <c r="D519" s="5" t="s">
        <v>66</v>
      </c>
      <c r="E519" s="6">
        <v>2019</v>
      </c>
      <c r="F519" s="7" cm="1">
        <f t="array" ref="F519">_xlfn.XLOOKUP(D519&amp;E519,'[1]Viirs77-Sol'!$C$2:$C$694&amp;'[1]Viirs77-Sol'!$D$2:$D$694,'[1]Viirs77-Sol'!$E$2:$E$694)</f>
        <v>21399.414830000002</v>
      </c>
      <c r="G519" s="7" cm="1">
        <f t="array" ref="G519">_xlfn.XLOOKUP(B519&amp;E519,'[2]Viirs77-Mean'!$A$2:$A$694&amp;'[2]Viirs77-Mean'!$D$2:$D$694,'[2]Viirs77-Mean'!$E$2:$E$694)</f>
        <v>9.0830644280000001</v>
      </c>
      <c r="H519" s="9" cm="1">
        <f t="array" ref="H519">_xlfn.XLOOKUP(D519,cleanprovinces!$B$2:$B$78,_xlfn.XLOOKUP(panel!E519,cleanprovinces!$C$1:$AC$1,cleanprovinces!$C$2:$AC$78,"no",0,1))</f>
        <v>169771</v>
      </c>
      <c r="I519" s="4">
        <f t="shared" si="25"/>
        <v>169771000000</v>
      </c>
      <c r="J519" s="3" cm="1">
        <f t="array" ref="J519">_xlfn.XLOOKUP(D519,[3]Sheet1!$B$2:$B$78,_xlfn.XLOOKUP(E519,[3]Sheet1!$C$1:$AC$1,[3]Sheet1!$C$2:$AC$78))</f>
        <v>588</v>
      </c>
      <c r="K519" s="3">
        <f t="shared" si="24"/>
        <v>588000</v>
      </c>
      <c r="L519" s="3">
        <f t="shared" si="26"/>
        <v>288726.19047619047</v>
      </c>
      <c r="M519" s="10">
        <v>98.345398348810605</v>
      </c>
      <c r="N519" s="10">
        <v>7.9658279481673899</v>
      </c>
    </row>
    <row r="520" spans="1:14" hidden="1" x14ac:dyDescent="0.3">
      <c r="A520" s="5">
        <v>44</v>
      </c>
      <c r="B520" s="5" t="str">
        <f>_xlfn.XLOOKUP(D520,'[1]Viirs77-Sol'!$C$2:$C$694,'[1]Viirs77-Sol'!$A$2:$A$694)</f>
        <v>TH-83</v>
      </c>
      <c r="C520" s="5" t="str">
        <f>_xlfn.XLOOKUP(D520,cleanprovinces!$B:$B,cleanprovinces!$A:$A)</f>
        <v>SO</v>
      </c>
      <c r="D520" s="5" t="s">
        <v>66</v>
      </c>
      <c r="E520" s="6">
        <v>2020</v>
      </c>
      <c r="F520" s="7" cm="1">
        <f t="array" ref="F520">_xlfn.XLOOKUP(D520&amp;E520,'[1]Viirs77-Sol'!$C$2:$C$694&amp;'[1]Viirs77-Sol'!$D$2:$D$694,'[1]Viirs77-Sol'!$E$2:$E$694)</f>
        <v>21586.565600000002</v>
      </c>
      <c r="G520" s="7" cm="1">
        <f t="array" ref="G520">_xlfn.XLOOKUP(B520&amp;E520,'[2]Viirs77-Mean'!$A$2:$A$694&amp;'[2]Viirs77-Mean'!$D$2:$D$694,'[2]Viirs77-Mean'!$E$2:$E$694)</f>
        <v>9.1625012960000003</v>
      </c>
      <c r="H520" s="9" cm="1">
        <f t="array" ref="H520">_xlfn.XLOOKUP(D520,cleanprovinces!$B$2:$B$78,_xlfn.XLOOKUP(panel!E520,cleanprovinces!$C$1:$AC$1,cleanprovinces!$C$2:$AC$78,"no",0,1))</f>
        <v>101153</v>
      </c>
      <c r="I520" s="4">
        <f t="shared" si="25"/>
        <v>101153000000</v>
      </c>
      <c r="J520" s="3" cm="1">
        <f t="array" ref="J520">_xlfn.XLOOKUP(D520,[3]Sheet1!$B$2:$B$78,_xlfn.XLOOKUP(E520,[3]Sheet1!$C$1:$AC$1,[3]Sheet1!$C$2:$AC$78))</f>
        <v>595</v>
      </c>
      <c r="K520" s="3">
        <f t="shared" si="24"/>
        <v>595000</v>
      </c>
      <c r="L520" s="3">
        <f t="shared" si="26"/>
        <v>170005.04201680672</v>
      </c>
      <c r="M520" s="10">
        <v>98.345398348810605</v>
      </c>
      <c r="N520" s="10">
        <v>7.9658279481673899</v>
      </c>
    </row>
    <row r="521" spans="1:14" hidden="1" x14ac:dyDescent="0.3">
      <c r="A521" s="5">
        <v>44</v>
      </c>
      <c r="B521" s="5" t="str">
        <f>_xlfn.XLOOKUP(D521,'[1]Viirs77-Sol'!$C$2:$C$694,'[1]Viirs77-Sol'!$A$2:$A$694)</f>
        <v>TH-83</v>
      </c>
      <c r="C521" s="5" t="str">
        <f>_xlfn.XLOOKUP(D521,cleanprovinces!$B:$B,cleanprovinces!$A:$A)</f>
        <v>SO</v>
      </c>
      <c r="D521" s="5" t="s">
        <v>66</v>
      </c>
      <c r="E521" s="6">
        <v>2021</v>
      </c>
      <c r="F521" s="7" cm="1">
        <f t="array" ref="F521">_xlfn.XLOOKUP(D521&amp;E521,'[1]Viirs77-Sol'!$C$2:$C$694&amp;'[1]Viirs77-Sol'!$D$2:$D$694,'[1]Viirs77-Sol'!$E$2:$E$694)</f>
        <v>21091.875499999998</v>
      </c>
      <c r="G521" s="7" cm="1">
        <f t="array" ref="G521">_xlfn.XLOOKUP(B521&amp;E521,'[2]Viirs77-Mean'!$A$2:$A$694&amp;'[2]Viirs77-Mean'!$D$2:$D$694,'[2]Viirs77-Mean'!$E$2:$E$694)</f>
        <v>8.9525281690000007</v>
      </c>
      <c r="H521" s="9" cm="1">
        <f t="array" ref="H521">_xlfn.XLOOKUP(D521,cleanprovinces!$B$2:$B$78,_xlfn.XLOOKUP(panel!E521,cleanprovinces!$C$1:$AC$1,cleanprovinces!$C$2:$AC$78,"no",0,1))</f>
        <v>74304</v>
      </c>
      <c r="I521" s="4">
        <f t="shared" si="25"/>
        <v>74304000000</v>
      </c>
      <c r="J521" s="3" cm="1">
        <f t="array" ref="J521">_xlfn.XLOOKUP(D521,[3]Sheet1!$B$2:$B$78,_xlfn.XLOOKUP(E521,[3]Sheet1!$C$1:$AC$1,[3]Sheet1!$C$2:$AC$78))</f>
        <v>602</v>
      </c>
      <c r="K521" s="3">
        <f t="shared" si="24"/>
        <v>602000</v>
      </c>
      <c r="L521" s="3">
        <f t="shared" si="26"/>
        <v>123428.57142857143</v>
      </c>
      <c r="M521" s="10">
        <v>98.345398348810605</v>
      </c>
      <c r="N521" s="10">
        <v>7.9658279481673899</v>
      </c>
    </row>
    <row r="522" spans="1:14" hidden="1" x14ac:dyDescent="0.3">
      <c r="A522" s="5">
        <v>22</v>
      </c>
      <c r="B522" s="5" t="str">
        <f>_xlfn.XLOOKUP(D522,'[1]Viirs77-Sol'!$C$2:$C$694,'[1]Viirs77-Sol'!$A$2:$A$694)</f>
        <v>TH-85</v>
      </c>
      <c r="C522" s="5" t="str">
        <f>_xlfn.XLOOKUP(D522,cleanprovinces!$B:$B,cleanprovinces!$A:$A)</f>
        <v>SO</v>
      </c>
      <c r="D522" s="5" t="s">
        <v>68</v>
      </c>
      <c r="E522" s="6">
        <v>2014</v>
      </c>
      <c r="F522" s="7" cm="1">
        <f t="array" ref="F522">_xlfn.XLOOKUP(D522&amp;E522,'[1]Viirs77-Sol'!$C$2:$C$694&amp;'[1]Viirs77-Sol'!$D$2:$D$694,'[1]Viirs77-Sol'!$E$2:$E$694)</f>
        <v>3607.034189</v>
      </c>
      <c r="G522" s="7" cm="1">
        <f t="array" ref="G522">_xlfn.XLOOKUP(B522&amp;E522,'[2]Viirs77-Mean'!$A$2:$A$694&amp;'[2]Viirs77-Mean'!$D$2:$D$694,'[2]Viirs77-Mean'!$E$2:$E$694)</f>
        <v>0.23956523699999999</v>
      </c>
      <c r="H522" s="9" cm="1">
        <f t="array" ref="H522">_xlfn.XLOOKUP(D522,cleanprovinces!$B$2:$B$78,_xlfn.XLOOKUP(panel!E522,cleanprovinces!$C$1:$AC$1,cleanprovinces!$C$2:$AC$78,"no",0,1))</f>
        <v>17352</v>
      </c>
      <c r="I522" s="4">
        <f t="shared" si="25"/>
        <v>17352000000</v>
      </c>
      <c r="J522" s="3" cm="1">
        <f t="array" ref="J522">_xlfn.XLOOKUP(D522,[3]Sheet1!$B$2:$B$78,_xlfn.XLOOKUP(E522,[3]Sheet1!$C$1:$AC$1,[3]Sheet1!$C$2:$AC$78))</f>
        <v>259</v>
      </c>
      <c r="K522" s="3">
        <f t="shared" si="24"/>
        <v>259000</v>
      </c>
      <c r="L522" s="3">
        <f t="shared" si="26"/>
        <v>66996.138996138994</v>
      </c>
      <c r="M522" s="10">
        <v>98.701999932869001</v>
      </c>
      <c r="N522" s="10">
        <v>9.9748688745071998</v>
      </c>
    </row>
    <row r="523" spans="1:14" hidden="1" x14ac:dyDescent="0.3">
      <c r="A523" s="5">
        <v>22</v>
      </c>
      <c r="B523" s="5" t="str">
        <f>_xlfn.XLOOKUP(D523,'[1]Viirs77-Sol'!$C$2:$C$694,'[1]Viirs77-Sol'!$A$2:$A$694)</f>
        <v>TH-85</v>
      </c>
      <c r="C523" s="5" t="str">
        <f>_xlfn.XLOOKUP(D523,cleanprovinces!$B:$B,cleanprovinces!$A:$A)</f>
        <v>SO</v>
      </c>
      <c r="D523" s="5" t="s">
        <v>68</v>
      </c>
      <c r="E523" s="6">
        <v>2015</v>
      </c>
      <c r="F523" s="7" cm="1">
        <f t="array" ref="F523">_xlfn.XLOOKUP(D523&amp;E523,'[1]Viirs77-Sol'!$C$2:$C$694&amp;'[1]Viirs77-Sol'!$D$2:$D$694,'[1]Viirs77-Sol'!$E$2:$E$694)</f>
        <v>3780.9535310000001</v>
      </c>
      <c r="G523" s="7" cm="1">
        <f t="array" ref="G523">_xlfn.XLOOKUP(B523&amp;E523,'[2]Viirs77-Mean'!$A$2:$A$694&amp;'[2]Viirs77-Mean'!$D$2:$D$694,'[2]Viirs77-Mean'!$E$2:$E$694)</f>
        <v>0.25111628600000002</v>
      </c>
      <c r="H523" s="9" cm="1">
        <f t="array" ref="H523">_xlfn.XLOOKUP(D523,cleanprovinces!$B$2:$B$78,_xlfn.XLOOKUP(panel!E523,cleanprovinces!$C$1:$AC$1,cleanprovinces!$C$2:$AC$78,"no",0,1))</f>
        <v>16742</v>
      </c>
      <c r="I523" s="4">
        <f t="shared" si="25"/>
        <v>16742000000</v>
      </c>
      <c r="J523" s="3" cm="1">
        <f t="array" ref="J523">_xlfn.XLOOKUP(D523,[3]Sheet1!$B$2:$B$78,_xlfn.XLOOKUP(E523,[3]Sheet1!$C$1:$AC$1,[3]Sheet1!$C$2:$AC$78))</f>
        <v>261</v>
      </c>
      <c r="K523" s="3">
        <f t="shared" si="24"/>
        <v>261000</v>
      </c>
      <c r="L523" s="3">
        <f t="shared" si="26"/>
        <v>64145.593869731798</v>
      </c>
      <c r="M523" s="10">
        <v>98.701999932869001</v>
      </c>
      <c r="N523" s="10">
        <v>9.9748688745071998</v>
      </c>
    </row>
    <row r="524" spans="1:14" hidden="1" x14ac:dyDescent="0.3">
      <c r="A524" s="5">
        <v>22</v>
      </c>
      <c r="B524" s="5" t="str">
        <f>_xlfn.XLOOKUP(D524,'[1]Viirs77-Sol'!$C$2:$C$694,'[1]Viirs77-Sol'!$A$2:$A$694)</f>
        <v>TH-85</v>
      </c>
      <c r="C524" s="5" t="str">
        <f>_xlfn.XLOOKUP(D524,cleanprovinces!$B:$B,cleanprovinces!$A:$A)</f>
        <v>SO</v>
      </c>
      <c r="D524" s="5" t="s">
        <v>68</v>
      </c>
      <c r="E524" s="6">
        <v>2016</v>
      </c>
      <c r="F524" s="7" cm="1">
        <f t="array" ref="F524">_xlfn.XLOOKUP(D524&amp;E524,'[1]Viirs77-Sol'!$C$2:$C$694&amp;'[1]Viirs77-Sol'!$D$2:$D$694,'[1]Viirs77-Sol'!$E$2:$E$694)</f>
        <v>3864.269976</v>
      </c>
      <c r="G524" s="7" cm="1">
        <f t="array" ref="G524">_xlfn.XLOOKUP(B524&amp;E524,'[2]Viirs77-Mean'!$A$2:$A$694&amp;'[2]Viirs77-Mean'!$D$2:$D$694,'[2]Viirs77-Mean'!$E$2:$E$694)</f>
        <v>0.25664984099999999</v>
      </c>
      <c r="H524" s="9" cm="1">
        <f t="array" ref="H524">_xlfn.XLOOKUP(D524,cleanprovinces!$B$2:$B$78,_xlfn.XLOOKUP(panel!E524,cleanprovinces!$C$1:$AC$1,cleanprovinces!$C$2:$AC$78,"no",0,1))</f>
        <v>17942</v>
      </c>
      <c r="I524" s="4">
        <f t="shared" si="25"/>
        <v>17942000000</v>
      </c>
      <c r="J524" s="3" cm="1">
        <f t="array" ref="J524">_xlfn.XLOOKUP(D524,[3]Sheet1!$B$2:$B$78,_xlfn.XLOOKUP(E524,[3]Sheet1!$C$1:$AC$1,[3]Sheet1!$C$2:$AC$78))</f>
        <v>264</v>
      </c>
      <c r="K524" s="3">
        <f t="shared" si="24"/>
        <v>264000</v>
      </c>
      <c r="L524" s="3">
        <f t="shared" si="26"/>
        <v>67962.121212121216</v>
      </c>
      <c r="M524" s="10">
        <v>98.701999932869001</v>
      </c>
      <c r="N524" s="10">
        <v>9.9748688745071998</v>
      </c>
    </row>
    <row r="525" spans="1:14" hidden="1" x14ac:dyDescent="0.3">
      <c r="A525" s="5">
        <v>22</v>
      </c>
      <c r="B525" s="5" t="str">
        <f>_xlfn.XLOOKUP(D525,'[1]Viirs77-Sol'!$C$2:$C$694,'[1]Viirs77-Sol'!$A$2:$A$694)</f>
        <v>TH-85</v>
      </c>
      <c r="C525" s="5" t="str">
        <f>_xlfn.XLOOKUP(D525,cleanprovinces!$B:$B,cleanprovinces!$A:$A)</f>
        <v>SO</v>
      </c>
      <c r="D525" s="5" t="s">
        <v>68</v>
      </c>
      <c r="E525" s="6">
        <v>2017</v>
      </c>
      <c r="F525" s="7" cm="1">
        <f t="array" ref="F525">_xlfn.XLOOKUP(D525&amp;E525,'[1]Viirs77-Sol'!$C$2:$C$694&amp;'[1]Viirs77-Sol'!$D$2:$D$694,'[1]Viirs77-Sol'!$E$2:$E$694)</f>
        <v>4883.9615540000004</v>
      </c>
      <c r="G525" s="7" cm="1">
        <f t="array" ref="G525">_xlfn.XLOOKUP(B525&amp;E525,'[2]Viirs77-Mean'!$A$2:$A$694&amp;'[2]Viirs77-Mean'!$D$2:$D$694,'[2]Viirs77-Mean'!$E$2:$E$694)</f>
        <v>0.32437380599999999</v>
      </c>
      <c r="H525" s="9" cm="1">
        <f t="array" ref="H525">_xlfn.XLOOKUP(D525,cleanprovinces!$B$2:$B$78,_xlfn.XLOOKUP(panel!E525,cleanprovinces!$C$1:$AC$1,cleanprovinces!$C$2:$AC$78,"no",0,1))</f>
        <v>18680</v>
      </c>
      <c r="I525" s="4">
        <f t="shared" si="25"/>
        <v>18680000000</v>
      </c>
      <c r="J525" s="3" cm="1">
        <f t="array" ref="J525">_xlfn.XLOOKUP(D525,[3]Sheet1!$B$2:$B$78,_xlfn.XLOOKUP(E525,[3]Sheet1!$C$1:$AC$1,[3]Sheet1!$C$2:$AC$78))</f>
        <v>267</v>
      </c>
      <c r="K525" s="3">
        <f t="shared" si="24"/>
        <v>267000</v>
      </c>
      <c r="L525" s="3">
        <f t="shared" si="26"/>
        <v>69962.5468164794</v>
      </c>
      <c r="M525" s="10">
        <v>98.701999932869001</v>
      </c>
      <c r="N525" s="10">
        <v>9.9748688745071998</v>
      </c>
    </row>
    <row r="526" spans="1:14" hidden="1" x14ac:dyDescent="0.3">
      <c r="A526" s="5">
        <v>22</v>
      </c>
      <c r="B526" s="5" t="str">
        <f>_xlfn.XLOOKUP(D526,'[1]Viirs77-Sol'!$C$2:$C$694,'[1]Viirs77-Sol'!$A$2:$A$694)</f>
        <v>TH-85</v>
      </c>
      <c r="C526" s="5" t="str">
        <f>_xlfn.XLOOKUP(D526,cleanprovinces!$B:$B,cleanprovinces!$A:$A)</f>
        <v>SO</v>
      </c>
      <c r="D526" s="5" t="s">
        <v>68</v>
      </c>
      <c r="E526" s="6">
        <v>2018</v>
      </c>
      <c r="F526" s="7" cm="1">
        <f t="array" ref="F526">_xlfn.XLOOKUP(D526&amp;E526,'[1]Viirs77-Sol'!$C$2:$C$694&amp;'[1]Viirs77-Sol'!$D$2:$D$694,'[1]Viirs77-Sol'!$E$2:$E$694)</f>
        <v>5302.0092869999999</v>
      </c>
      <c r="G526" s="7" cm="1">
        <f t="array" ref="G526">_xlfn.XLOOKUP(B526&amp;E526,'[2]Viirs77-Mean'!$A$2:$A$694&amp;'[2]Viirs77-Mean'!$D$2:$D$694,'[2]Viirs77-Mean'!$E$2:$E$694)</f>
        <v>0.352138917</v>
      </c>
      <c r="H526" s="9" cm="1">
        <f t="array" ref="H526">_xlfn.XLOOKUP(D526,cleanprovinces!$B$2:$B$78,_xlfn.XLOOKUP(panel!E526,cleanprovinces!$C$1:$AC$1,cleanprovinces!$C$2:$AC$78,"no",0,1))</f>
        <v>19436</v>
      </c>
      <c r="I526" s="4">
        <f t="shared" si="25"/>
        <v>19436000000</v>
      </c>
      <c r="J526" s="3" cm="1">
        <f t="array" ref="J526">_xlfn.XLOOKUP(D526,[3]Sheet1!$B$2:$B$78,_xlfn.XLOOKUP(E526,[3]Sheet1!$C$1:$AC$1,[3]Sheet1!$C$2:$AC$78))</f>
        <v>269</v>
      </c>
      <c r="K526" s="3">
        <f t="shared" si="24"/>
        <v>269000</v>
      </c>
      <c r="L526" s="3">
        <f t="shared" si="26"/>
        <v>72252.788104089224</v>
      </c>
      <c r="M526" s="10">
        <v>98.701999932869001</v>
      </c>
      <c r="N526" s="10">
        <v>9.9748688745071998</v>
      </c>
    </row>
    <row r="527" spans="1:14" hidden="1" x14ac:dyDescent="0.3">
      <c r="A527" s="5">
        <v>22</v>
      </c>
      <c r="B527" s="5" t="str">
        <f>_xlfn.XLOOKUP(D527,'[1]Viirs77-Sol'!$C$2:$C$694,'[1]Viirs77-Sol'!$A$2:$A$694)</f>
        <v>TH-85</v>
      </c>
      <c r="C527" s="5" t="str">
        <f>_xlfn.XLOOKUP(D527,cleanprovinces!$B:$B,cleanprovinces!$A:$A)</f>
        <v>SO</v>
      </c>
      <c r="D527" s="5" t="s">
        <v>68</v>
      </c>
      <c r="E527" s="6">
        <v>2019</v>
      </c>
      <c r="F527" s="7" cm="1">
        <f t="array" ref="F527">_xlfn.XLOOKUP(D527&amp;E527,'[1]Viirs77-Sol'!$C$2:$C$694&amp;'[1]Viirs77-Sol'!$D$2:$D$694,'[1]Viirs77-Sol'!$E$2:$E$694)</f>
        <v>5419.69031</v>
      </c>
      <c r="G527" s="7" cm="1">
        <f t="array" ref="G527">_xlfn.XLOOKUP(B527&amp;E527,'[2]Viirs77-Mean'!$A$2:$A$694&amp;'[2]Viirs77-Mean'!$D$2:$D$694,'[2]Viirs77-Mean'!$E$2:$E$694)</f>
        <v>0.359954834</v>
      </c>
      <c r="H527" s="9" cm="1">
        <f t="array" ref="H527">_xlfn.XLOOKUP(D527,cleanprovinces!$B$2:$B$78,_xlfn.XLOOKUP(panel!E527,cleanprovinces!$C$1:$AC$1,cleanprovinces!$C$2:$AC$78,"no",0,1))</f>
        <v>18652</v>
      </c>
      <c r="I527" s="4">
        <f t="shared" si="25"/>
        <v>18652000000</v>
      </c>
      <c r="J527" s="3" cm="1">
        <f t="array" ref="J527">_xlfn.XLOOKUP(D527,[3]Sheet1!$B$2:$B$78,_xlfn.XLOOKUP(E527,[3]Sheet1!$C$1:$AC$1,[3]Sheet1!$C$2:$AC$78))</f>
        <v>274</v>
      </c>
      <c r="K527" s="3">
        <f t="shared" si="24"/>
        <v>274000</v>
      </c>
      <c r="L527" s="3">
        <f t="shared" si="26"/>
        <v>68072.992700729927</v>
      </c>
      <c r="M527" s="10">
        <v>98.701999932869001</v>
      </c>
      <c r="N527" s="10">
        <v>9.9748688745071998</v>
      </c>
    </row>
    <row r="528" spans="1:14" hidden="1" x14ac:dyDescent="0.3">
      <c r="A528" s="5">
        <v>22</v>
      </c>
      <c r="B528" s="5" t="str">
        <f>_xlfn.XLOOKUP(D528,'[1]Viirs77-Sol'!$C$2:$C$694,'[1]Viirs77-Sol'!$A$2:$A$694)</f>
        <v>TH-85</v>
      </c>
      <c r="C528" s="5" t="str">
        <f>_xlfn.XLOOKUP(D528,cleanprovinces!$B:$B,cleanprovinces!$A:$A)</f>
        <v>SO</v>
      </c>
      <c r="D528" s="5" t="s">
        <v>68</v>
      </c>
      <c r="E528" s="6">
        <v>2020</v>
      </c>
      <c r="F528" s="7" cm="1">
        <f t="array" ref="F528">_xlfn.XLOOKUP(D528&amp;E528,'[1]Viirs77-Sol'!$C$2:$C$694&amp;'[1]Viirs77-Sol'!$D$2:$D$694,'[1]Viirs77-Sol'!$E$2:$E$694)</f>
        <v>6194.4542069999998</v>
      </c>
      <c r="G528" s="7" cm="1">
        <f t="array" ref="G528">_xlfn.XLOOKUP(B528&amp;E528,'[2]Viirs77-Mean'!$A$2:$A$694&amp;'[2]Viirs77-Mean'!$D$2:$D$694,'[2]Viirs77-Mean'!$E$2:$E$694)</f>
        <v>0.41141165099999999</v>
      </c>
      <c r="H528" s="9" cm="1">
        <f t="array" ref="H528">_xlfn.XLOOKUP(D528,cleanprovinces!$B$2:$B$78,_xlfn.XLOOKUP(panel!E528,cleanprovinces!$C$1:$AC$1,cleanprovinces!$C$2:$AC$78,"no",0,1))</f>
        <v>19490</v>
      </c>
      <c r="I528" s="4">
        <f t="shared" si="25"/>
        <v>19490000000</v>
      </c>
      <c r="J528" s="3" cm="1">
        <f t="array" ref="J528">_xlfn.XLOOKUP(D528,[3]Sheet1!$B$2:$B$78,_xlfn.XLOOKUP(E528,[3]Sheet1!$C$1:$AC$1,[3]Sheet1!$C$2:$AC$78))</f>
        <v>279</v>
      </c>
      <c r="K528" s="3">
        <f t="shared" si="24"/>
        <v>279000</v>
      </c>
      <c r="L528" s="3">
        <f t="shared" si="26"/>
        <v>69856.630824372754</v>
      </c>
      <c r="M528" s="10">
        <v>98.701999932869001</v>
      </c>
      <c r="N528" s="10">
        <v>9.9748688745071998</v>
      </c>
    </row>
    <row r="529" spans="1:14" hidden="1" x14ac:dyDescent="0.3">
      <c r="A529" s="5">
        <v>22</v>
      </c>
      <c r="B529" s="5" t="str">
        <f>_xlfn.XLOOKUP(D529,'[1]Viirs77-Sol'!$C$2:$C$694,'[1]Viirs77-Sol'!$A$2:$A$694)</f>
        <v>TH-85</v>
      </c>
      <c r="C529" s="5" t="str">
        <f>_xlfn.XLOOKUP(D529,cleanprovinces!$B:$B,cleanprovinces!$A:$A)</f>
        <v>SO</v>
      </c>
      <c r="D529" s="5" t="s">
        <v>68</v>
      </c>
      <c r="E529" s="6">
        <v>2021</v>
      </c>
      <c r="F529" s="7" cm="1">
        <f t="array" ref="F529">_xlfn.XLOOKUP(D529&amp;E529,'[1]Viirs77-Sol'!$C$2:$C$694&amp;'[1]Viirs77-Sol'!$D$2:$D$694,'[1]Viirs77-Sol'!$E$2:$E$694)</f>
        <v>6887.0997820000002</v>
      </c>
      <c r="G529" s="7" cm="1">
        <f t="array" ref="G529">_xlfn.XLOOKUP(B529&amp;E529,'[2]Viirs77-Mean'!$A$2:$A$694&amp;'[2]Viirs77-Mean'!$D$2:$D$694,'[2]Viirs77-Mean'!$E$2:$E$694)</f>
        <v>0.45741448600000001</v>
      </c>
      <c r="H529" s="9" cm="1">
        <f t="array" ref="H529">_xlfn.XLOOKUP(D529,cleanprovinces!$B$2:$B$78,_xlfn.XLOOKUP(panel!E529,cleanprovinces!$C$1:$AC$1,cleanprovinces!$C$2:$AC$78,"no",0,1))</f>
        <v>18631</v>
      </c>
      <c r="I529" s="4">
        <f t="shared" si="25"/>
        <v>18631000000</v>
      </c>
      <c r="J529" s="3" cm="1">
        <f t="array" ref="J529">_xlfn.XLOOKUP(D529,[3]Sheet1!$B$2:$B$78,_xlfn.XLOOKUP(E529,[3]Sheet1!$C$1:$AC$1,[3]Sheet1!$C$2:$AC$78))</f>
        <v>283</v>
      </c>
      <c r="K529" s="3">
        <f t="shared" si="24"/>
        <v>283000</v>
      </c>
      <c r="L529" s="3">
        <f t="shared" si="26"/>
        <v>65833.922261484098</v>
      </c>
      <c r="M529" s="10">
        <v>98.701999932869001</v>
      </c>
      <c r="N529" s="10">
        <v>9.9748688745071998</v>
      </c>
    </row>
    <row r="530" spans="1:14" hidden="1" x14ac:dyDescent="0.3">
      <c r="A530" s="5">
        <v>76</v>
      </c>
      <c r="B530" s="5" t="str">
        <f>_xlfn.XLOOKUP(D530,'[1]Viirs77-Sol'!$C$2:$C$694,'[1]Viirs77-Sol'!$A$2:$A$694)</f>
        <v>TH-91</v>
      </c>
      <c r="C530" s="5" t="str">
        <f>_xlfn.XLOOKUP(D530,cleanprovinces!$B:$B,cleanprovinces!$A:$A)</f>
        <v>SO</v>
      </c>
      <c r="D530" s="5" t="s">
        <v>74</v>
      </c>
      <c r="E530" s="6">
        <v>2014</v>
      </c>
      <c r="F530" s="7" cm="1">
        <f t="array" ref="F530">_xlfn.XLOOKUP(D530&amp;E530,'[1]Viirs77-Sol'!$C$2:$C$694&amp;'[1]Viirs77-Sol'!$D$2:$D$694,'[1]Viirs77-Sol'!$E$2:$E$694)</f>
        <v>6435.7637269999996</v>
      </c>
      <c r="G530" s="7" cm="1">
        <f t="array" ref="G530">_xlfn.XLOOKUP(B530&amp;E530,'[2]Viirs77-Mean'!$A$2:$A$694&amp;'[2]Viirs77-Mean'!$D$2:$D$694,'[2]Viirs77-Mean'!$E$2:$E$694)</f>
        <v>0.52933285100000005</v>
      </c>
      <c r="H530" s="9" cm="1">
        <f t="array" ref="H530">_xlfn.XLOOKUP(D530,cleanprovinces!$B$2:$B$78,_xlfn.XLOOKUP(panel!E530,cleanprovinces!$C$1:$AC$1,cleanprovinces!$C$2:$AC$78,"no",0,1))</f>
        <v>22421</v>
      </c>
      <c r="I530" s="4">
        <f t="shared" si="25"/>
        <v>22421000000</v>
      </c>
      <c r="J530" s="3" cm="1">
        <f t="array" ref="J530">_xlfn.XLOOKUP(D530,[3]Sheet1!$B$2:$B$78,_xlfn.XLOOKUP(E530,[3]Sheet1!$C$1:$AC$1,[3]Sheet1!$C$2:$AC$78))</f>
        <v>281</v>
      </c>
      <c r="K530" s="3">
        <f t="shared" si="24"/>
        <v>281000</v>
      </c>
      <c r="L530" s="3">
        <f t="shared" si="26"/>
        <v>79790.035587188613</v>
      </c>
      <c r="M530" s="10">
        <v>99.928620693514603</v>
      </c>
      <c r="N530" s="10">
        <v>6.8258574668823204</v>
      </c>
    </row>
    <row r="531" spans="1:14" hidden="1" x14ac:dyDescent="0.3">
      <c r="A531" s="5">
        <v>76</v>
      </c>
      <c r="B531" s="5" t="str">
        <f>_xlfn.XLOOKUP(D531,'[1]Viirs77-Sol'!$C$2:$C$694,'[1]Viirs77-Sol'!$A$2:$A$694)</f>
        <v>TH-91</v>
      </c>
      <c r="C531" s="5" t="str">
        <f>_xlfn.XLOOKUP(D531,cleanprovinces!$B:$B,cleanprovinces!$A:$A)</f>
        <v>SO</v>
      </c>
      <c r="D531" s="5" t="s">
        <v>74</v>
      </c>
      <c r="E531" s="6">
        <v>2015</v>
      </c>
      <c r="F531" s="7" cm="1">
        <f t="array" ref="F531">_xlfn.XLOOKUP(D531&amp;E531,'[1]Viirs77-Sol'!$C$2:$C$694&amp;'[1]Viirs77-Sol'!$D$2:$D$694,'[1]Viirs77-Sol'!$E$2:$E$694)</f>
        <v>6899.8191260000003</v>
      </c>
      <c r="G531" s="7" cm="1">
        <f t="array" ref="G531">_xlfn.XLOOKUP(B531&amp;E531,'[2]Viirs77-Mean'!$A$2:$A$694&amp;'[2]Viirs77-Mean'!$D$2:$D$694,'[2]Viirs77-Mean'!$E$2:$E$694)</f>
        <v>0.56750077899999996</v>
      </c>
      <c r="H531" s="9" cm="1">
        <f t="array" ref="H531">_xlfn.XLOOKUP(D531,cleanprovinces!$B$2:$B$78,_xlfn.XLOOKUP(panel!E531,cleanprovinces!$C$1:$AC$1,cleanprovinces!$C$2:$AC$78,"no",0,1))</f>
        <v>22488</v>
      </c>
      <c r="I531" s="4">
        <f t="shared" si="25"/>
        <v>22488000000</v>
      </c>
      <c r="J531" s="3" cm="1">
        <f t="array" ref="J531">_xlfn.XLOOKUP(D531,[3]Sheet1!$B$2:$B$78,_xlfn.XLOOKUP(E531,[3]Sheet1!$C$1:$AC$1,[3]Sheet1!$C$2:$AC$78))</f>
        <v>283</v>
      </c>
      <c r="K531" s="3">
        <f t="shared" si="24"/>
        <v>283000</v>
      </c>
      <c r="L531" s="3">
        <f t="shared" si="26"/>
        <v>79462.897526501765</v>
      </c>
      <c r="M531" s="10">
        <v>99.928620693514603</v>
      </c>
      <c r="N531" s="10">
        <v>6.8258574668823204</v>
      </c>
    </row>
    <row r="532" spans="1:14" hidden="1" x14ac:dyDescent="0.3">
      <c r="A532" s="5">
        <v>76</v>
      </c>
      <c r="B532" s="5" t="str">
        <f>_xlfn.XLOOKUP(D532,'[1]Viirs77-Sol'!$C$2:$C$694,'[1]Viirs77-Sol'!$A$2:$A$694)</f>
        <v>TH-91</v>
      </c>
      <c r="C532" s="5" t="str">
        <f>_xlfn.XLOOKUP(D532,cleanprovinces!$B:$B,cleanprovinces!$A:$A)</f>
        <v>SO</v>
      </c>
      <c r="D532" s="5" t="s">
        <v>74</v>
      </c>
      <c r="E532" s="6">
        <v>2016</v>
      </c>
      <c r="F532" s="7" cm="1">
        <f t="array" ref="F532">_xlfn.XLOOKUP(D532&amp;E532,'[1]Viirs77-Sol'!$C$2:$C$694&amp;'[1]Viirs77-Sol'!$D$2:$D$694,'[1]Viirs77-Sol'!$E$2:$E$694)</f>
        <v>7406.8908760000004</v>
      </c>
      <c r="G532" s="7" cm="1">
        <f t="array" ref="G532">_xlfn.XLOOKUP(B532&amp;E532,'[2]Viirs77-Mean'!$A$2:$A$694&amp;'[2]Viirs77-Mean'!$D$2:$D$694,'[2]Viirs77-Mean'!$E$2:$E$694)</f>
        <v>0.60920674399999997</v>
      </c>
      <c r="H532" s="9" cm="1">
        <f t="array" ref="H532">_xlfn.XLOOKUP(D532,cleanprovinces!$B$2:$B$78,_xlfn.XLOOKUP(panel!E532,cleanprovinces!$C$1:$AC$1,cleanprovinces!$C$2:$AC$78,"no",0,1))</f>
        <v>21878</v>
      </c>
      <c r="I532" s="4">
        <f t="shared" si="25"/>
        <v>21878000000</v>
      </c>
      <c r="J532" s="3" cm="1">
        <f t="array" ref="J532">_xlfn.XLOOKUP(D532,[3]Sheet1!$B$2:$B$78,_xlfn.XLOOKUP(E532,[3]Sheet1!$C$1:$AC$1,[3]Sheet1!$C$2:$AC$78))</f>
        <v>286</v>
      </c>
      <c r="K532" s="3">
        <f t="shared" si="24"/>
        <v>286000</v>
      </c>
      <c r="L532" s="3">
        <f t="shared" si="26"/>
        <v>76496.503496503501</v>
      </c>
      <c r="M532" s="10">
        <v>99.928620693514603</v>
      </c>
      <c r="N532" s="10">
        <v>6.8258574668823204</v>
      </c>
    </row>
    <row r="533" spans="1:14" hidden="1" x14ac:dyDescent="0.3">
      <c r="A533" s="5">
        <v>76</v>
      </c>
      <c r="B533" s="5" t="str">
        <f>_xlfn.XLOOKUP(D533,'[1]Viirs77-Sol'!$C$2:$C$694,'[1]Viirs77-Sol'!$A$2:$A$694)</f>
        <v>TH-91</v>
      </c>
      <c r="C533" s="5" t="str">
        <f>_xlfn.XLOOKUP(D533,cleanprovinces!$B:$B,cleanprovinces!$A:$A)</f>
        <v>SO</v>
      </c>
      <c r="D533" s="5" t="s">
        <v>74</v>
      </c>
      <c r="E533" s="6">
        <v>2017</v>
      </c>
      <c r="F533" s="7" cm="1">
        <f t="array" ref="F533">_xlfn.XLOOKUP(D533&amp;E533,'[1]Viirs77-Sol'!$C$2:$C$694&amp;'[1]Viirs77-Sol'!$D$2:$D$694,'[1]Viirs77-Sol'!$E$2:$E$694)</f>
        <v>8823.1512939999993</v>
      </c>
      <c r="G533" s="7" cm="1">
        <f t="array" ref="G533">_xlfn.XLOOKUP(B533&amp;E533,'[2]Viirs77-Mean'!$A$2:$A$694&amp;'[2]Viirs77-Mean'!$D$2:$D$694,'[2]Viirs77-Mean'!$E$2:$E$694)</f>
        <v>0.72569224499999996</v>
      </c>
      <c r="H533" s="9" cm="1">
        <f t="array" ref="H533">_xlfn.XLOOKUP(D533,cleanprovinces!$B$2:$B$78,_xlfn.XLOOKUP(panel!E533,cleanprovinces!$C$1:$AC$1,cleanprovinces!$C$2:$AC$78,"no",0,1))</f>
        <v>20630</v>
      </c>
      <c r="I533" s="4">
        <f t="shared" si="25"/>
        <v>20630000000</v>
      </c>
      <c r="J533" s="3" cm="1">
        <f t="array" ref="J533">_xlfn.XLOOKUP(D533,[3]Sheet1!$B$2:$B$78,_xlfn.XLOOKUP(E533,[3]Sheet1!$C$1:$AC$1,[3]Sheet1!$C$2:$AC$78))</f>
        <v>288</v>
      </c>
      <c r="K533" s="3">
        <f t="shared" si="24"/>
        <v>288000</v>
      </c>
      <c r="L533" s="3">
        <f t="shared" si="26"/>
        <v>71631.944444444438</v>
      </c>
      <c r="M533" s="10">
        <v>99.928620693514603</v>
      </c>
      <c r="N533" s="10">
        <v>6.8258574668823204</v>
      </c>
    </row>
    <row r="534" spans="1:14" hidden="1" x14ac:dyDescent="0.3">
      <c r="A534" s="5">
        <v>76</v>
      </c>
      <c r="B534" s="5" t="str">
        <f>_xlfn.XLOOKUP(D534,'[1]Viirs77-Sol'!$C$2:$C$694,'[1]Viirs77-Sol'!$A$2:$A$694)</f>
        <v>TH-91</v>
      </c>
      <c r="C534" s="5" t="str">
        <f>_xlfn.XLOOKUP(D534,cleanprovinces!$B:$B,cleanprovinces!$A:$A)</f>
        <v>SO</v>
      </c>
      <c r="D534" s="5" t="s">
        <v>74</v>
      </c>
      <c r="E534" s="6">
        <v>2018</v>
      </c>
      <c r="F534" s="7" cm="1">
        <f t="array" ref="F534">_xlfn.XLOOKUP(D534&amp;E534,'[1]Viirs77-Sol'!$C$2:$C$694&amp;'[1]Viirs77-Sol'!$D$2:$D$694,'[1]Viirs77-Sol'!$E$2:$E$694)</f>
        <v>9706.0378930000006</v>
      </c>
      <c r="G534" s="7" cm="1">
        <f t="array" ref="G534">_xlfn.XLOOKUP(B534&amp;E534,'[2]Viirs77-Mean'!$A$2:$A$694&amp;'[2]Viirs77-Mean'!$D$2:$D$694,'[2]Viirs77-Mean'!$E$2:$E$694)</f>
        <v>0.79830847199999999</v>
      </c>
      <c r="H534" s="9" cm="1">
        <f t="array" ref="H534">_xlfn.XLOOKUP(D534,cleanprovinces!$B$2:$B$78,_xlfn.XLOOKUP(panel!E534,cleanprovinces!$C$1:$AC$1,cleanprovinces!$C$2:$AC$78,"no",0,1))</f>
        <v>20146</v>
      </c>
      <c r="I534" s="4">
        <f t="shared" si="25"/>
        <v>20146000000</v>
      </c>
      <c r="J534" s="3" cm="1">
        <f t="array" ref="J534">_xlfn.XLOOKUP(D534,[3]Sheet1!$B$2:$B$78,_xlfn.XLOOKUP(E534,[3]Sheet1!$C$1:$AC$1,[3]Sheet1!$C$2:$AC$78))</f>
        <v>290</v>
      </c>
      <c r="K534" s="3">
        <f t="shared" si="24"/>
        <v>290000</v>
      </c>
      <c r="L534" s="3">
        <f t="shared" si="26"/>
        <v>69468.965517241377</v>
      </c>
      <c r="M534" s="10">
        <v>99.928620693514603</v>
      </c>
      <c r="N534" s="10">
        <v>6.8258574668823204</v>
      </c>
    </row>
    <row r="535" spans="1:14" hidden="1" x14ac:dyDescent="0.3">
      <c r="A535" s="5">
        <v>76</v>
      </c>
      <c r="B535" s="5" t="str">
        <f>_xlfn.XLOOKUP(D535,'[1]Viirs77-Sol'!$C$2:$C$694,'[1]Viirs77-Sol'!$A$2:$A$694)</f>
        <v>TH-91</v>
      </c>
      <c r="C535" s="5" t="str">
        <f>_xlfn.XLOOKUP(D535,cleanprovinces!$B:$B,cleanprovinces!$A:$A)</f>
        <v>SO</v>
      </c>
      <c r="D535" s="5" t="s">
        <v>74</v>
      </c>
      <c r="E535" s="6">
        <v>2019</v>
      </c>
      <c r="F535" s="7" cm="1">
        <f t="array" ref="F535">_xlfn.XLOOKUP(D535&amp;E535,'[1]Viirs77-Sol'!$C$2:$C$694&amp;'[1]Viirs77-Sol'!$D$2:$D$694,'[1]Viirs77-Sol'!$E$2:$E$694)</f>
        <v>9809.2410849999997</v>
      </c>
      <c r="G535" s="7" cm="1">
        <f t="array" ref="G535">_xlfn.XLOOKUP(B535&amp;E535,'[2]Viirs77-Mean'!$A$2:$A$694&amp;'[2]Viirs77-Mean'!$D$2:$D$694,'[2]Viirs77-Mean'!$E$2:$E$694)</f>
        <v>0.80679679500000001</v>
      </c>
      <c r="H535" s="9" cm="1">
        <f t="array" ref="H535">_xlfn.XLOOKUP(D535,cleanprovinces!$B$2:$B$78,_xlfn.XLOOKUP(panel!E535,cleanprovinces!$C$1:$AC$1,cleanprovinces!$C$2:$AC$78,"no",0,1))</f>
        <v>20485</v>
      </c>
      <c r="I535" s="4">
        <f t="shared" si="25"/>
        <v>20485000000</v>
      </c>
      <c r="J535" s="3" cm="1">
        <f t="array" ref="J535">_xlfn.XLOOKUP(D535,[3]Sheet1!$B$2:$B$78,_xlfn.XLOOKUP(E535,[3]Sheet1!$C$1:$AC$1,[3]Sheet1!$C$2:$AC$78))</f>
        <v>293</v>
      </c>
      <c r="K535" s="3">
        <f t="shared" si="24"/>
        <v>293000</v>
      </c>
      <c r="L535" s="3">
        <f t="shared" si="26"/>
        <v>69914.675767918088</v>
      </c>
      <c r="M535" s="10">
        <v>99.928620693514603</v>
      </c>
      <c r="N535" s="10">
        <v>6.8258574668823204</v>
      </c>
    </row>
    <row r="536" spans="1:14" hidden="1" x14ac:dyDescent="0.3">
      <c r="A536" s="5">
        <v>76</v>
      </c>
      <c r="B536" s="5" t="str">
        <f>_xlfn.XLOOKUP(D536,'[1]Viirs77-Sol'!$C$2:$C$694,'[1]Viirs77-Sol'!$A$2:$A$694)</f>
        <v>TH-91</v>
      </c>
      <c r="C536" s="5" t="str">
        <f>_xlfn.XLOOKUP(D536,cleanprovinces!$B:$B,cleanprovinces!$A:$A)</f>
        <v>SO</v>
      </c>
      <c r="D536" s="5" t="s">
        <v>74</v>
      </c>
      <c r="E536" s="6">
        <v>2020</v>
      </c>
      <c r="F536" s="7" cm="1">
        <f t="array" ref="F536">_xlfn.XLOOKUP(D536&amp;E536,'[1]Viirs77-Sol'!$C$2:$C$694&amp;'[1]Viirs77-Sol'!$D$2:$D$694,'[1]Viirs77-Sol'!$E$2:$E$694)</f>
        <v>10764.454100000001</v>
      </c>
      <c r="G536" s="7" cm="1">
        <f t="array" ref="G536">_xlfn.XLOOKUP(B536&amp;E536,'[2]Viirs77-Mean'!$A$2:$A$694&amp;'[2]Viirs77-Mean'!$D$2:$D$694,'[2]Viirs77-Mean'!$E$2:$E$694)</f>
        <v>0.88536177100000002</v>
      </c>
      <c r="H536" s="9" cm="1">
        <f t="array" ref="H536">_xlfn.XLOOKUP(D536,cleanprovinces!$B$2:$B$78,_xlfn.XLOOKUP(panel!E536,cleanprovinces!$C$1:$AC$1,cleanprovinces!$C$2:$AC$78,"no",0,1))</f>
        <v>21200</v>
      </c>
      <c r="I536" s="4">
        <f t="shared" si="25"/>
        <v>21200000000</v>
      </c>
      <c r="J536" s="3" cm="1">
        <f t="array" ref="J536">_xlfn.XLOOKUP(D536,[3]Sheet1!$B$2:$B$78,_xlfn.XLOOKUP(E536,[3]Sheet1!$C$1:$AC$1,[3]Sheet1!$C$2:$AC$78))</f>
        <v>295</v>
      </c>
      <c r="K536" s="3">
        <f t="shared" si="24"/>
        <v>295000</v>
      </c>
      <c r="L536" s="3">
        <f t="shared" si="26"/>
        <v>71864.406779661018</v>
      </c>
      <c r="M536" s="10">
        <v>99.928620693514603</v>
      </c>
      <c r="N536" s="10">
        <v>6.8258574668823204</v>
      </c>
    </row>
    <row r="537" spans="1:14" hidden="1" x14ac:dyDescent="0.3">
      <c r="A537" s="5">
        <v>76</v>
      </c>
      <c r="B537" s="5" t="str">
        <f>_xlfn.XLOOKUP(D537,'[1]Viirs77-Sol'!$C$2:$C$694,'[1]Viirs77-Sol'!$A$2:$A$694)</f>
        <v>TH-91</v>
      </c>
      <c r="C537" s="5" t="str">
        <f>_xlfn.XLOOKUP(D537,cleanprovinces!$B:$B,cleanprovinces!$A:$A)</f>
        <v>SO</v>
      </c>
      <c r="D537" s="5" t="s">
        <v>74</v>
      </c>
      <c r="E537" s="6">
        <v>2021</v>
      </c>
      <c r="F537" s="7" cm="1">
        <f t="array" ref="F537">_xlfn.XLOOKUP(D537&amp;E537,'[1]Viirs77-Sol'!$C$2:$C$694&amp;'[1]Viirs77-Sol'!$D$2:$D$694,'[1]Viirs77-Sol'!$E$2:$E$694)</f>
        <v>12825.95285</v>
      </c>
      <c r="G537" s="7" cm="1">
        <f t="array" ref="G537">_xlfn.XLOOKUP(B537&amp;E537,'[2]Viirs77-Mean'!$A$2:$A$694&amp;'[2]Viirs77-Mean'!$D$2:$D$694,'[2]Viirs77-Mean'!$E$2:$E$694)</f>
        <v>1.0549172520000001</v>
      </c>
      <c r="H537" s="9" cm="1">
        <f t="array" ref="H537">_xlfn.XLOOKUP(D537,cleanprovinces!$B$2:$B$78,_xlfn.XLOOKUP(panel!E537,cleanprovinces!$C$1:$AC$1,cleanprovinces!$C$2:$AC$78,"no",0,1))</f>
        <v>20978</v>
      </c>
      <c r="I537" s="4">
        <f t="shared" si="25"/>
        <v>20978000000</v>
      </c>
      <c r="J537" s="3" cm="1">
        <f t="array" ref="J537">_xlfn.XLOOKUP(D537,[3]Sheet1!$B$2:$B$78,_xlfn.XLOOKUP(E537,[3]Sheet1!$C$1:$AC$1,[3]Sheet1!$C$2:$AC$78))</f>
        <v>297</v>
      </c>
      <c r="K537" s="3">
        <f t="shared" si="24"/>
        <v>297000</v>
      </c>
      <c r="L537" s="3">
        <f t="shared" si="26"/>
        <v>70632.996632996626</v>
      </c>
      <c r="M537" s="10">
        <v>99.928620693514603</v>
      </c>
      <c r="N537" s="10">
        <v>6.8258574668823204</v>
      </c>
    </row>
    <row r="538" spans="1:14" hidden="1" x14ac:dyDescent="0.3">
      <c r="A538" s="5">
        <v>43</v>
      </c>
      <c r="B538" s="5" t="str">
        <f>_xlfn.XLOOKUP(D538,'[1]Viirs77-Sol'!$C$2:$C$694,'[1]Viirs77-Sol'!$A$2:$A$694)</f>
        <v>TH-90</v>
      </c>
      <c r="C538" s="5" t="str">
        <f>_xlfn.XLOOKUP(D538,cleanprovinces!$B:$B,cleanprovinces!$A:$A)</f>
        <v>SO</v>
      </c>
      <c r="D538" s="5" t="s">
        <v>73</v>
      </c>
      <c r="E538" s="6">
        <v>2014</v>
      </c>
      <c r="F538" s="7" cm="1">
        <f t="array" ref="F538">_xlfn.XLOOKUP(D538&amp;E538,'[1]Viirs77-Sol'!$C$2:$C$694&amp;'[1]Viirs77-Sol'!$D$2:$D$694,'[1]Viirs77-Sol'!$E$2:$E$694)</f>
        <v>30606.004939999999</v>
      </c>
      <c r="G538" s="7" cm="1">
        <f t="array" ref="G538">_xlfn.XLOOKUP(B538&amp;E538,'[2]Viirs77-Mean'!$A$2:$A$694&amp;'[2]Viirs77-Mean'!$D$2:$D$694,'[2]Viirs77-Mean'!$E$2:$E$694)</f>
        <v>0.88796398700000001</v>
      </c>
      <c r="H538" s="9" cm="1">
        <f t="array" ref="H538">_xlfn.XLOOKUP(D538,cleanprovinces!$B$2:$B$78,_xlfn.XLOOKUP(panel!E538,cleanprovinces!$C$1:$AC$1,cleanprovinces!$C$2:$AC$78,"no",0,1))</f>
        <v>154915</v>
      </c>
      <c r="I538" s="4">
        <f t="shared" si="25"/>
        <v>154915000000</v>
      </c>
      <c r="J538" s="3" cm="1">
        <f t="array" ref="J538">_xlfn.XLOOKUP(D538,[3]Sheet1!$B$2:$B$78,_xlfn.XLOOKUP(E538,[3]Sheet1!$C$1:$AC$1,[3]Sheet1!$C$2:$AC$78))</f>
        <v>1564</v>
      </c>
      <c r="K538" s="3">
        <f t="shared" si="24"/>
        <v>1564000</v>
      </c>
      <c r="L538" s="3">
        <f t="shared" si="26"/>
        <v>99050.5115089514</v>
      </c>
      <c r="M538" s="10">
        <v>100.543848939437</v>
      </c>
      <c r="N538" s="10">
        <v>6.93961120545453</v>
      </c>
    </row>
    <row r="539" spans="1:14" hidden="1" x14ac:dyDescent="0.3">
      <c r="A539" s="5">
        <v>43</v>
      </c>
      <c r="B539" s="5" t="str">
        <f>_xlfn.XLOOKUP(D539,'[1]Viirs77-Sol'!$C$2:$C$694,'[1]Viirs77-Sol'!$A$2:$A$694)</f>
        <v>TH-90</v>
      </c>
      <c r="C539" s="5" t="str">
        <f>_xlfn.XLOOKUP(D539,cleanprovinces!$B:$B,cleanprovinces!$A:$A)</f>
        <v>SO</v>
      </c>
      <c r="D539" s="5" t="s">
        <v>73</v>
      </c>
      <c r="E539" s="6">
        <v>2015</v>
      </c>
      <c r="F539" s="7" cm="1">
        <f t="array" ref="F539">_xlfn.XLOOKUP(D539&amp;E539,'[1]Viirs77-Sol'!$C$2:$C$694&amp;'[1]Viirs77-Sol'!$D$2:$D$694,'[1]Viirs77-Sol'!$E$2:$E$694)</f>
        <v>33402.814619999997</v>
      </c>
      <c r="G539" s="7" cm="1">
        <f t="array" ref="G539">_xlfn.XLOOKUP(B539&amp;E539,'[2]Viirs77-Mean'!$A$2:$A$694&amp;'[2]Viirs77-Mean'!$D$2:$D$694,'[2]Viirs77-Mean'!$E$2:$E$694)</f>
        <v>0.969107092</v>
      </c>
      <c r="H539" s="9" cm="1">
        <f t="array" ref="H539">_xlfn.XLOOKUP(D539,cleanprovinces!$B$2:$B$78,_xlfn.XLOOKUP(panel!E539,cleanprovinces!$C$1:$AC$1,cleanprovinces!$C$2:$AC$78,"no",0,1))</f>
        <v>162760</v>
      </c>
      <c r="I539" s="4">
        <f t="shared" si="25"/>
        <v>162760000000</v>
      </c>
      <c r="J539" s="3" cm="1">
        <f t="array" ref="J539">_xlfn.XLOOKUP(D539,[3]Sheet1!$B$2:$B$78,_xlfn.XLOOKUP(E539,[3]Sheet1!$C$1:$AC$1,[3]Sheet1!$C$2:$AC$78))</f>
        <v>1585</v>
      </c>
      <c r="K539" s="3">
        <f t="shared" si="24"/>
        <v>1585000</v>
      </c>
      <c r="L539" s="3">
        <f t="shared" si="26"/>
        <v>102687.69716088328</v>
      </c>
      <c r="M539" s="10">
        <v>100.543848939437</v>
      </c>
      <c r="N539" s="10">
        <v>6.93961120545453</v>
      </c>
    </row>
    <row r="540" spans="1:14" hidden="1" x14ac:dyDescent="0.3">
      <c r="A540" s="5">
        <v>43</v>
      </c>
      <c r="B540" s="5" t="str">
        <f>_xlfn.XLOOKUP(D540,'[1]Viirs77-Sol'!$C$2:$C$694,'[1]Viirs77-Sol'!$A$2:$A$694)</f>
        <v>TH-90</v>
      </c>
      <c r="C540" s="5" t="str">
        <f>_xlfn.XLOOKUP(D540,cleanprovinces!$B:$B,cleanprovinces!$A:$A)</f>
        <v>SO</v>
      </c>
      <c r="D540" s="5" t="s">
        <v>73</v>
      </c>
      <c r="E540" s="6">
        <v>2016</v>
      </c>
      <c r="F540" s="7" cm="1">
        <f t="array" ref="F540">_xlfn.XLOOKUP(D540&amp;E540,'[1]Viirs77-Sol'!$C$2:$C$694&amp;'[1]Viirs77-Sol'!$D$2:$D$694,'[1]Viirs77-Sol'!$E$2:$E$694)</f>
        <v>34924.973539999999</v>
      </c>
      <c r="G540" s="7" cm="1">
        <f t="array" ref="G540">_xlfn.XLOOKUP(B540&amp;E540,'[2]Viirs77-Mean'!$A$2:$A$694&amp;'[2]Viirs77-Mean'!$D$2:$D$694,'[2]Viirs77-Mean'!$E$2:$E$694)</f>
        <v>1.013269089</v>
      </c>
      <c r="H540" s="9" cm="1">
        <f t="array" ref="H540">_xlfn.XLOOKUP(D540,cleanprovinces!$B$2:$B$78,_xlfn.XLOOKUP(panel!E540,cleanprovinces!$C$1:$AC$1,cleanprovinces!$C$2:$AC$78,"no",0,1))</f>
        <v>165077</v>
      </c>
      <c r="I540" s="4">
        <f t="shared" si="25"/>
        <v>165077000000</v>
      </c>
      <c r="J540" s="3" cm="1">
        <f t="array" ref="J540">_xlfn.XLOOKUP(D540,[3]Sheet1!$B$2:$B$78,_xlfn.XLOOKUP(E540,[3]Sheet1!$C$1:$AC$1,[3]Sheet1!$C$2:$AC$78))</f>
        <v>1607</v>
      </c>
      <c r="K540" s="3">
        <f t="shared" si="24"/>
        <v>1607000</v>
      </c>
      <c r="L540" s="3">
        <f t="shared" si="26"/>
        <v>102723.70877411326</v>
      </c>
      <c r="M540" s="10">
        <v>100.543848939437</v>
      </c>
      <c r="N540" s="10">
        <v>6.93961120545453</v>
      </c>
    </row>
    <row r="541" spans="1:14" hidden="1" x14ac:dyDescent="0.3">
      <c r="A541" s="5">
        <v>43</v>
      </c>
      <c r="B541" s="5" t="str">
        <f>_xlfn.XLOOKUP(D541,'[1]Viirs77-Sol'!$C$2:$C$694,'[1]Viirs77-Sol'!$A$2:$A$694)</f>
        <v>TH-90</v>
      </c>
      <c r="C541" s="5" t="str">
        <f>_xlfn.XLOOKUP(D541,cleanprovinces!$B:$B,cleanprovinces!$A:$A)</f>
        <v>SO</v>
      </c>
      <c r="D541" s="5" t="s">
        <v>73</v>
      </c>
      <c r="E541" s="6">
        <v>2017</v>
      </c>
      <c r="F541" s="7" cm="1">
        <f t="array" ref="F541">_xlfn.XLOOKUP(D541&amp;E541,'[1]Viirs77-Sol'!$C$2:$C$694&amp;'[1]Viirs77-Sol'!$D$2:$D$694,'[1]Viirs77-Sol'!$E$2:$E$694)</f>
        <v>39847.63063</v>
      </c>
      <c r="G541" s="7" cm="1">
        <f t="array" ref="G541">_xlfn.XLOOKUP(B541&amp;E541,'[2]Viirs77-Mean'!$A$2:$A$694&amp;'[2]Viirs77-Mean'!$D$2:$D$694,'[2]Viirs77-Mean'!$E$2:$E$694)</f>
        <v>1.1560888469999999</v>
      </c>
      <c r="H541" s="9" cm="1">
        <f t="array" ref="H541">_xlfn.XLOOKUP(D541,cleanprovinces!$B$2:$B$78,_xlfn.XLOOKUP(panel!E541,cleanprovinces!$C$1:$AC$1,cleanprovinces!$C$2:$AC$78,"no",0,1))</f>
        <v>159844</v>
      </c>
      <c r="I541" s="4">
        <f t="shared" si="25"/>
        <v>159844000000</v>
      </c>
      <c r="J541" s="3" cm="1">
        <f t="array" ref="J541">_xlfn.XLOOKUP(D541,[3]Sheet1!$B$2:$B$78,_xlfn.XLOOKUP(E541,[3]Sheet1!$C$1:$AC$1,[3]Sheet1!$C$2:$AC$78))</f>
        <v>1620</v>
      </c>
      <c r="K541" s="3">
        <f t="shared" si="24"/>
        <v>1620000</v>
      </c>
      <c r="L541" s="3">
        <f t="shared" si="26"/>
        <v>98669.135802469129</v>
      </c>
      <c r="M541" s="10">
        <v>100.543848939437</v>
      </c>
      <c r="N541" s="10">
        <v>6.93961120545453</v>
      </c>
    </row>
    <row r="542" spans="1:14" hidden="1" x14ac:dyDescent="0.3">
      <c r="A542" s="5">
        <v>43</v>
      </c>
      <c r="B542" s="5" t="str">
        <f>_xlfn.XLOOKUP(D542,'[1]Viirs77-Sol'!$C$2:$C$694,'[1]Viirs77-Sol'!$A$2:$A$694)</f>
        <v>TH-90</v>
      </c>
      <c r="C542" s="5" t="str">
        <f>_xlfn.XLOOKUP(D542,cleanprovinces!$B:$B,cleanprovinces!$A:$A)</f>
        <v>SO</v>
      </c>
      <c r="D542" s="5" t="s">
        <v>73</v>
      </c>
      <c r="E542" s="6">
        <v>2018</v>
      </c>
      <c r="F542" s="7" cm="1">
        <f t="array" ref="F542">_xlfn.XLOOKUP(D542&amp;E542,'[1]Viirs77-Sol'!$C$2:$C$694&amp;'[1]Viirs77-Sol'!$D$2:$D$694,'[1]Viirs77-Sol'!$E$2:$E$694)</f>
        <v>42914.839310000003</v>
      </c>
      <c r="G542" s="7" cm="1">
        <f t="array" ref="G542">_xlfn.XLOOKUP(B542&amp;E542,'[2]Viirs77-Mean'!$A$2:$A$694&amp;'[2]Viirs77-Mean'!$D$2:$D$694,'[2]Viirs77-Mean'!$E$2:$E$694)</f>
        <v>1.245076968</v>
      </c>
      <c r="H542" s="9" cm="1">
        <f t="array" ref="H542">_xlfn.XLOOKUP(D542,cleanprovinces!$B$2:$B$78,_xlfn.XLOOKUP(panel!E542,cleanprovinces!$C$1:$AC$1,cleanprovinces!$C$2:$AC$78,"no",0,1))</f>
        <v>166454</v>
      </c>
      <c r="I542" s="4">
        <f t="shared" si="25"/>
        <v>166454000000</v>
      </c>
      <c r="J542" s="3" cm="1">
        <f t="array" ref="J542">_xlfn.XLOOKUP(D542,[3]Sheet1!$B$2:$B$78,_xlfn.XLOOKUP(E542,[3]Sheet1!$C$1:$AC$1,[3]Sheet1!$C$2:$AC$78))</f>
        <v>1635</v>
      </c>
      <c r="K542" s="3">
        <f t="shared" si="24"/>
        <v>1635000</v>
      </c>
      <c r="L542" s="3">
        <f t="shared" si="26"/>
        <v>101806.72782874618</v>
      </c>
      <c r="M542" s="10">
        <v>100.543848939437</v>
      </c>
      <c r="N542" s="10">
        <v>6.93961120545453</v>
      </c>
    </row>
    <row r="543" spans="1:14" hidden="1" x14ac:dyDescent="0.3">
      <c r="A543" s="5">
        <v>43</v>
      </c>
      <c r="B543" s="5" t="str">
        <f>_xlfn.XLOOKUP(D543,'[1]Viirs77-Sol'!$C$2:$C$694,'[1]Viirs77-Sol'!$A$2:$A$694)</f>
        <v>TH-90</v>
      </c>
      <c r="C543" s="5" t="str">
        <f>_xlfn.XLOOKUP(D543,cleanprovinces!$B:$B,cleanprovinces!$A:$A)</f>
        <v>SO</v>
      </c>
      <c r="D543" s="5" t="s">
        <v>73</v>
      </c>
      <c r="E543" s="6">
        <v>2019</v>
      </c>
      <c r="F543" s="7" cm="1">
        <f t="array" ref="F543">_xlfn.XLOOKUP(D543&amp;E543,'[1]Viirs77-Sol'!$C$2:$C$694&amp;'[1]Viirs77-Sol'!$D$2:$D$694,'[1]Viirs77-Sol'!$E$2:$E$694)</f>
        <v>43810.373149999999</v>
      </c>
      <c r="G543" s="7" cm="1">
        <f t="array" ref="G543">_xlfn.XLOOKUP(B543&amp;E543,'[2]Viirs77-Mean'!$A$2:$A$694&amp;'[2]Viirs77-Mean'!$D$2:$D$694,'[2]Viirs77-Mean'!$E$2:$E$694)</f>
        <v>1.271058856</v>
      </c>
      <c r="H543" s="9" cm="1">
        <f t="array" ref="H543">_xlfn.XLOOKUP(D543,cleanprovinces!$B$2:$B$78,_xlfn.XLOOKUP(panel!E543,cleanprovinces!$C$1:$AC$1,cleanprovinces!$C$2:$AC$78,"no",0,1))</f>
        <v>160565</v>
      </c>
      <c r="I543" s="4">
        <f t="shared" si="25"/>
        <v>160565000000</v>
      </c>
      <c r="J543" s="3" cm="1">
        <f t="array" ref="J543">_xlfn.XLOOKUP(D543,[3]Sheet1!$B$2:$B$78,_xlfn.XLOOKUP(E543,[3]Sheet1!$C$1:$AC$1,[3]Sheet1!$C$2:$AC$78))</f>
        <v>1649</v>
      </c>
      <c r="K543" s="3">
        <f t="shared" si="24"/>
        <v>1649000</v>
      </c>
      <c r="L543" s="3">
        <f t="shared" si="26"/>
        <v>97371.134020618556</v>
      </c>
      <c r="M543" s="10">
        <v>100.543848939437</v>
      </c>
      <c r="N543" s="10">
        <v>6.93961120545453</v>
      </c>
    </row>
    <row r="544" spans="1:14" hidden="1" x14ac:dyDescent="0.3">
      <c r="A544" s="5">
        <v>43</v>
      </c>
      <c r="B544" s="5" t="str">
        <f>_xlfn.XLOOKUP(D544,'[1]Viirs77-Sol'!$C$2:$C$694,'[1]Viirs77-Sol'!$A$2:$A$694)</f>
        <v>TH-90</v>
      </c>
      <c r="C544" s="5" t="str">
        <f>_xlfn.XLOOKUP(D544,cleanprovinces!$B:$B,cleanprovinces!$A:$A)</f>
        <v>SO</v>
      </c>
      <c r="D544" s="5" t="s">
        <v>73</v>
      </c>
      <c r="E544" s="6">
        <v>2020</v>
      </c>
      <c r="F544" s="7" cm="1">
        <f t="array" ref="F544">_xlfn.XLOOKUP(D544&amp;E544,'[1]Viirs77-Sol'!$C$2:$C$694&amp;'[1]Viirs77-Sol'!$D$2:$D$694,'[1]Viirs77-Sol'!$E$2:$E$694)</f>
        <v>46539.915359999999</v>
      </c>
      <c r="G544" s="7" cm="1">
        <f t="array" ref="G544">_xlfn.XLOOKUP(B544&amp;E544,'[2]Viirs77-Mean'!$A$2:$A$694&amp;'[2]Viirs77-Mean'!$D$2:$D$694,'[2]Viirs77-Mean'!$E$2:$E$694)</f>
        <v>1.3502503480000001</v>
      </c>
      <c r="H544" s="9" cm="1">
        <f t="array" ref="H544">_xlfn.XLOOKUP(D544,cleanprovinces!$B$2:$B$78,_xlfn.XLOOKUP(panel!E544,cleanprovinces!$C$1:$AC$1,cleanprovinces!$C$2:$AC$78,"no",0,1))</f>
        <v>155613</v>
      </c>
      <c r="I544" s="4">
        <f t="shared" si="25"/>
        <v>155613000000</v>
      </c>
      <c r="J544" s="3" cm="1">
        <f t="array" ref="J544">_xlfn.XLOOKUP(D544,[3]Sheet1!$B$2:$B$78,_xlfn.XLOOKUP(E544,[3]Sheet1!$C$1:$AC$1,[3]Sheet1!$C$2:$AC$78))</f>
        <v>1663</v>
      </c>
      <c r="K544" s="3">
        <f t="shared" si="24"/>
        <v>1663000</v>
      </c>
      <c r="L544" s="3">
        <f t="shared" si="26"/>
        <v>93573.66205652435</v>
      </c>
      <c r="M544" s="10">
        <v>100.543848939437</v>
      </c>
      <c r="N544" s="10">
        <v>6.93961120545453</v>
      </c>
    </row>
    <row r="545" spans="1:14" hidden="1" x14ac:dyDescent="0.3">
      <c r="A545" s="5">
        <v>43</v>
      </c>
      <c r="B545" s="5" t="str">
        <f>_xlfn.XLOOKUP(D545,'[1]Viirs77-Sol'!$C$2:$C$694,'[1]Viirs77-Sol'!$A$2:$A$694)</f>
        <v>TH-90</v>
      </c>
      <c r="C545" s="5" t="str">
        <f>_xlfn.XLOOKUP(D545,cleanprovinces!$B:$B,cleanprovinces!$A:$A)</f>
        <v>SO</v>
      </c>
      <c r="D545" s="5" t="s">
        <v>73</v>
      </c>
      <c r="E545" s="6">
        <v>2021</v>
      </c>
      <c r="F545" s="7" cm="1">
        <f t="array" ref="F545">_xlfn.XLOOKUP(D545&amp;E545,'[1]Viirs77-Sol'!$C$2:$C$694&amp;'[1]Viirs77-Sol'!$D$2:$D$694,'[1]Viirs77-Sol'!$E$2:$E$694)</f>
        <v>48852.432460000004</v>
      </c>
      <c r="G545" s="7" cm="1">
        <f t="array" ref="G545">_xlfn.XLOOKUP(B545&amp;E545,'[2]Viirs77-Mean'!$A$2:$A$694&amp;'[2]Viirs77-Mean'!$D$2:$D$694,'[2]Viirs77-Mean'!$E$2:$E$694)</f>
        <v>1.417342799</v>
      </c>
      <c r="H545" s="9" cm="1">
        <f t="array" ref="H545">_xlfn.XLOOKUP(D545,cleanprovinces!$B$2:$B$78,_xlfn.XLOOKUP(panel!E545,cleanprovinces!$C$1:$AC$1,cleanprovinces!$C$2:$AC$78,"no",0,1))</f>
        <v>158478</v>
      </c>
      <c r="I545" s="4">
        <f t="shared" si="25"/>
        <v>158478000000</v>
      </c>
      <c r="J545" s="3" cm="1">
        <f t="array" ref="J545">_xlfn.XLOOKUP(D545,[3]Sheet1!$B$2:$B$78,_xlfn.XLOOKUP(E545,[3]Sheet1!$C$1:$AC$1,[3]Sheet1!$C$2:$AC$78))</f>
        <v>1676</v>
      </c>
      <c r="K545" s="3">
        <f t="shared" si="24"/>
        <v>1676000</v>
      </c>
      <c r="L545" s="3">
        <f t="shared" si="26"/>
        <v>94557.279236276852</v>
      </c>
      <c r="M545" s="10">
        <v>100.543848939437</v>
      </c>
      <c r="N545" s="10">
        <v>6.93961120545453</v>
      </c>
    </row>
    <row r="546" spans="1:14" hidden="1" x14ac:dyDescent="0.3">
      <c r="A546" s="5">
        <v>11</v>
      </c>
      <c r="B546" s="5" t="str">
        <f>_xlfn.XLOOKUP(D546,'[1]Viirs77-Sol'!$C$2:$C$694,'[1]Viirs77-Sol'!$A$2:$A$694)</f>
        <v>TH-84</v>
      </c>
      <c r="C546" s="5" t="str">
        <f>_xlfn.XLOOKUP(D546,cleanprovinces!$B:$B,cleanprovinces!$A:$A)</f>
        <v>SO</v>
      </c>
      <c r="D546" s="5" t="s">
        <v>67</v>
      </c>
      <c r="E546" s="6">
        <v>2014</v>
      </c>
      <c r="F546" s="7" cm="1">
        <f t="array" ref="F546">_xlfn.XLOOKUP(D546&amp;E546,'[1]Viirs77-Sol'!$C$2:$C$694&amp;'[1]Viirs77-Sol'!$D$2:$D$694,'[1]Viirs77-Sol'!$E$2:$E$694)</f>
        <v>20821.21804</v>
      </c>
      <c r="G546" s="7" cm="1">
        <f t="array" ref="G546">_xlfn.XLOOKUP(B546&amp;E546,'[2]Viirs77-Mean'!$A$2:$A$694&amp;'[2]Viirs77-Mean'!$D$2:$D$694,'[2]Viirs77-Mean'!$E$2:$E$694)</f>
        <v>0.32883851800000002</v>
      </c>
      <c r="H546" s="9" cm="1">
        <f t="array" ref="H546">_xlfn.XLOOKUP(D546,cleanprovinces!$B$2:$B$78,_xlfn.XLOOKUP(panel!E546,cleanprovinces!$C$1:$AC$1,cleanprovinces!$C$2:$AC$78,"no",0,1))</f>
        <v>110473</v>
      </c>
      <c r="I546" s="4">
        <f t="shared" si="25"/>
        <v>110473000000</v>
      </c>
      <c r="J546" s="3" cm="1">
        <f t="array" ref="J546">_xlfn.XLOOKUP(D546,[3]Sheet1!$B$2:$B$78,_xlfn.XLOOKUP(E546,[3]Sheet1!$C$1:$AC$1,[3]Sheet1!$C$2:$AC$78))</f>
        <v>1089</v>
      </c>
      <c r="K546" s="3">
        <f t="shared" si="24"/>
        <v>1089000</v>
      </c>
      <c r="L546" s="3">
        <f t="shared" si="26"/>
        <v>101444.44444444444</v>
      </c>
      <c r="M546" s="10">
        <v>99.090041377693893</v>
      </c>
      <c r="N546" s="10">
        <v>9.0467891940271308</v>
      </c>
    </row>
    <row r="547" spans="1:14" hidden="1" x14ac:dyDescent="0.3">
      <c r="A547" s="5">
        <v>11</v>
      </c>
      <c r="B547" s="5" t="str">
        <f>_xlfn.XLOOKUP(D547,'[1]Viirs77-Sol'!$C$2:$C$694,'[1]Viirs77-Sol'!$A$2:$A$694)</f>
        <v>TH-84</v>
      </c>
      <c r="C547" s="5" t="str">
        <f>_xlfn.XLOOKUP(D547,cleanprovinces!$B:$B,cleanprovinces!$A:$A)</f>
        <v>SO</v>
      </c>
      <c r="D547" s="5" t="s">
        <v>67</v>
      </c>
      <c r="E547" s="6">
        <v>2015</v>
      </c>
      <c r="F547" s="7" cm="1">
        <f t="array" ref="F547">_xlfn.XLOOKUP(D547&amp;E547,'[1]Viirs77-Sol'!$C$2:$C$694&amp;'[1]Viirs77-Sol'!$D$2:$D$694,'[1]Viirs77-Sol'!$E$2:$E$694)</f>
        <v>20864.14976</v>
      </c>
      <c r="G547" s="7" cm="1">
        <f t="array" ref="G547">_xlfn.XLOOKUP(B547&amp;E547,'[2]Viirs77-Mean'!$A$2:$A$694&amp;'[2]Viirs77-Mean'!$D$2:$D$694,'[2]Viirs77-Mean'!$E$2:$E$694)</f>
        <v>0.32951655699999999</v>
      </c>
      <c r="H547" s="9" cm="1">
        <f t="array" ref="H547">_xlfn.XLOOKUP(D547,cleanprovinces!$B$2:$B$78,_xlfn.XLOOKUP(panel!E547,cleanprovinces!$C$1:$AC$1,cleanprovinces!$C$2:$AC$78,"no",0,1))</f>
        <v>114998</v>
      </c>
      <c r="I547" s="4">
        <f t="shared" si="25"/>
        <v>114998000000</v>
      </c>
      <c r="J547" s="3" cm="1">
        <f t="array" ref="J547">_xlfn.XLOOKUP(D547,[3]Sheet1!$B$2:$B$78,_xlfn.XLOOKUP(E547,[3]Sheet1!$C$1:$AC$1,[3]Sheet1!$C$2:$AC$78))</f>
        <v>1109</v>
      </c>
      <c r="K547" s="3">
        <f t="shared" si="24"/>
        <v>1109000</v>
      </c>
      <c r="L547" s="3">
        <f t="shared" si="26"/>
        <v>103695.22091974752</v>
      </c>
      <c r="M547" s="10">
        <v>99.090041377693893</v>
      </c>
      <c r="N547" s="10">
        <v>9.0467891940271308</v>
      </c>
    </row>
    <row r="548" spans="1:14" hidden="1" x14ac:dyDescent="0.3">
      <c r="A548" s="5">
        <v>11</v>
      </c>
      <c r="B548" s="5" t="str">
        <f>_xlfn.XLOOKUP(D548,'[1]Viirs77-Sol'!$C$2:$C$694,'[1]Viirs77-Sol'!$A$2:$A$694)</f>
        <v>TH-84</v>
      </c>
      <c r="C548" s="5" t="str">
        <f>_xlfn.XLOOKUP(D548,cleanprovinces!$B:$B,cleanprovinces!$A:$A)</f>
        <v>SO</v>
      </c>
      <c r="D548" s="5" t="s">
        <v>67</v>
      </c>
      <c r="E548" s="6">
        <v>2016</v>
      </c>
      <c r="F548" s="7" cm="1">
        <f t="array" ref="F548">_xlfn.XLOOKUP(D548&amp;E548,'[1]Viirs77-Sol'!$C$2:$C$694&amp;'[1]Viirs77-Sol'!$D$2:$D$694,'[1]Viirs77-Sol'!$E$2:$E$694)</f>
        <v>22301.372139999999</v>
      </c>
      <c r="G548" s="7" cm="1">
        <f t="array" ref="G548">_xlfn.XLOOKUP(B548&amp;E548,'[2]Viirs77-Mean'!$A$2:$A$694&amp;'[2]Viirs77-Mean'!$D$2:$D$694,'[2]Viirs77-Mean'!$E$2:$E$694)</f>
        <v>0.35221523300000002</v>
      </c>
      <c r="H548" s="9" cm="1">
        <f t="array" ref="H548">_xlfn.XLOOKUP(D548,cleanprovinces!$B$2:$B$78,_xlfn.XLOOKUP(panel!E548,cleanprovinces!$C$1:$AC$1,cleanprovinces!$C$2:$AC$78,"no",0,1))</f>
        <v>117658</v>
      </c>
      <c r="I548" s="4">
        <f t="shared" si="25"/>
        <v>117658000000</v>
      </c>
      <c r="J548" s="3" cm="1">
        <f t="array" ref="J548">_xlfn.XLOOKUP(D548,[3]Sheet1!$B$2:$B$78,_xlfn.XLOOKUP(E548,[3]Sheet1!$C$1:$AC$1,[3]Sheet1!$C$2:$AC$78))</f>
        <v>1128</v>
      </c>
      <c r="K548" s="3">
        <f t="shared" si="24"/>
        <v>1128000</v>
      </c>
      <c r="L548" s="3">
        <f t="shared" si="26"/>
        <v>104306.73758865248</v>
      </c>
      <c r="M548" s="10">
        <v>99.090041377693893</v>
      </c>
      <c r="N548" s="10">
        <v>9.0467891940271308</v>
      </c>
    </row>
    <row r="549" spans="1:14" hidden="1" x14ac:dyDescent="0.3">
      <c r="A549" s="5">
        <v>11</v>
      </c>
      <c r="B549" s="5" t="str">
        <f>_xlfn.XLOOKUP(D549,'[1]Viirs77-Sol'!$C$2:$C$694,'[1]Viirs77-Sol'!$A$2:$A$694)</f>
        <v>TH-84</v>
      </c>
      <c r="C549" s="5" t="str">
        <f>_xlfn.XLOOKUP(D549,cleanprovinces!$B:$B,cleanprovinces!$A:$A)</f>
        <v>SO</v>
      </c>
      <c r="D549" s="5" t="s">
        <v>67</v>
      </c>
      <c r="E549" s="6">
        <v>2017</v>
      </c>
      <c r="F549" s="7" cm="1">
        <f t="array" ref="F549">_xlfn.XLOOKUP(D549&amp;E549,'[1]Viirs77-Sol'!$C$2:$C$694&amp;'[1]Viirs77-Sol'!$D$2:$D$694,'[1]Viirs77-Sol'!$E$2:$E$694)</f>
        <v>27474.883539999999</v>
      </c>
      <c r="G549" s="7" cm="1">
        <f t="array" ref="G549">_xlfn.XLOOKUP(B549&amp;E549,'[2]Viirs77-Mean'!$A$2:$A$694&amp;'[2]Viirs77-Mean'!$D$2:$D$694,'[2]Viirs77-Mean'!$E$2:$E$694)</f>
        <v>0.43392273999999997</v>
      </c>
      <c r="H549" s="9" cm="1">
        <f t="array" ref="H549">_xlfn.XLOOKUP(D549,cleanprovinces!$B$2:$B$78,_xlfn.XLOOKUP(panel!E549,cleanprovinces!$C$1:$AC$1,cleanprovinces!$C$2:$AC$78,"no",0,1))</f>
        <v>123349</v>
      </c>
      <c r="I549" s="4">
        <f t="shared" si="25"/>
        <v>123349000000</v>
      </c>
      <c r="J549" s="3" cm="1">
        <f t="array" ref="J549">_xlfn.XLOOKUP(D549,[3]Sheet1!$B$2:$B$78,_xlfn.XLOOKUP(E549,[3]Sheet1!$C$1:$AC$1,[3]Sheet1!$C$2:$AC$78))</f>
        <v>1126</v>
      </c>
      <c r="K549" s="3">
        <f t="shared" si="24"/>
        <v>1126000</v>
      </c>
      <c r="L549" s="3">
        <f t="shared" si="26"/>
        <v>109546.1811722913</v>
      </c>
      <c r="M549" s="10">
        <v>99.090041377693893</v>
      </c>
      <c r="N549" s="10">
        <v>9.0467891940271308</v>
      </c>
    </row>
    <row r="550" spans="1:14" hidden="1" x14ac:dyDescent="0.3">
      <c r="A550" s="5">
        <v>11</v>
      </c>
      <c r="B550" s="5" t="str">
        <f>_xlfn.XLOOKUP(D550,'[1]Viirs77-Sol'!$C$2:$C$694,'[1]Viirs77-Sol'!$A$2:$A$694)</f>
        <v>TH-84</v>
      </c>
      <c r="C550" s="5" t="str">
        <f>_xlfn.XLOOKUP(D550,cleanprovinces!$B:$B,cleanprovinces!$A:$A)</f>
        <v>SO</v>
      </c>
      <c r="D550" s="5" t="s">
        <v>67</v>
      </c>
      <c r="E550" s="6">
        <v>2018</v>
      </c>
      <c r="F550" s="7" cm="1">
        <f t="array" ref="F550">_xlfn.XLOOKUP(D550&amp;E550,'[1]Viirs77-Sol'!$C$2:$C$694&amp;'[1]Viirs77-Sol'!$D$2:$D$694,'[1]Viirs77-Sol'!$E$2:$E$694)</f>
        <v>29629.290939999999</v>
      </c>
      <c r="G550" s="7" cm="1">
        <f t="array" ref="G550">_xlfn.XLOOKUP(B550&amp;E550,'[2]Viirs77-Mean'!$A$2:$A$694&amp;'[2]Viirs77-Mean'!$D$2:$D$694,'[2]Viirs77-Mean'!$E$2:$E$694)</f>
        <v>0.46794823000000002</v>
      </c>
      <c r="H550" s="9" cm="1">
        <f t="array" ref="H550">_xlfn.XLOOKUP(D550,cleanprovinces!$B$2:$B$78,_xlfn.XLOOKUP(panel!E550,cleanprovinces!$C$1:$AC$1,cleanprovinces!$C$2:$AC$78,"no",0,1))</f>
        <v>123962</v>
      </c>
      <c r="I550" s="4">
        <f t="shared" si="25"/>
        <v>123962000000</v>
      </c>
      <c r="J550" s="3" cm="1">
        <f t="array" ref="J550">_xlfn.XLOOKUP(D550,[3]Sheet1!$B$2:$B$78,_xlfn.XLOOKUP(E550,[3]Sheet1!$C$1:$AC$1,[3]Sheet1!$C$2:$AC$78))</f>
        <v>1134</v>
      </c>
      <c r="K550" s="3">
        <f t="shared" si="24"/>
        <v>1134000</v>
      </c>
      <c r="L550" s="3">
        <f t="shared" si="26"/>
        <v>109313.93298059965</v>
      </c>
      <c r="M550" s="10">
        <v>99.090041377693893</v>
      </c>
      <c r="N550" s="10">
        <v>9.0467891940271308</v>
      </c>
    </row>
    <row r="551" spans="1:14" hidden="1" x14ac:dyDescent="0.3">
      <c r="A551" s="5">
        <v>11</v>
      </c>
      <c r="B551" s="5" t="str">
        <f>_xlfn.XLOOKUP(D551,'[1]Viirs77-Sol'!$C$2:$C$694,'[1]Viirs77-Sol'!$A$2:$A$694)</f>
        <v>TH-84</v>
      </c>
      <c r="C551" s="5" t="str">
        <f>_xlfn.XLOOKUP(D551,cleanprovinces!$B:$B,cleanprovinces!$A:$A)</f>
        <v>SO</v>
      </c>
      <c r="D551" s="5" t="s">
        <v>67</v>
      </c>
      <c r="E551" s="6">
        <v>2019</v>
      </c>
      <c r="F551" s="7" cm="1">
        <f t="array" ref="F551">_xlfn.XLOOKUP(D551&amp;E551,'[1]Viirs77-Sol'!$C$2:$C$694&amp;'[1]Viirs77-Sol'!$D$2:$D$694,'[1]Viirs77-Sol'!$E$2:$E$694)</f>
        <v>29874.61706</v>
      </c>
      <c r="G551" s="7" cm="1">
        <f t="array" ref="G551">_xlfn.XLOOKUP(B551&amp;E551,'[2]Viirs77-Mean'!$A$2:$A$694&amp;'[2]Viirs77-Mean'!$D$2:$D$694,'[2]Viirs77-Mean'!$E$2:$E$694)</f>
        <v>0.471822772</v>
      </c>
      <c r="H551" s="9" cm="1">
        <f t="array" ref="H551">_xlfn.XLOOKUP(D551,cleanprovinces!$B$2:$B$78,_xlfn.XLOOKUP(panel!E551,cleanprovinces!$C$1:$AC$1,cleanprovinces!$C$2:$AC$78,"no",0,1))</f>
        <v>124205</v>
      </c>
      <c r="I551" s="4">
        <f t="shared" si="25"/>
        <v>124205000000</v>
      </c>
      <c r="J551" s="3" cm="1">
        <f t="array" ref="J551">_xlfn.XLOOKUP(D551,[3]Sheet1!$B$2:$B$78,_xlfn.XLOOKUP(E551,[3]Sheet1!$C$1:$AC$1,[3]Sheet1!$C$2:$AC$78))</f>
        <v>1142</v>
      </c>
      <c r="K551" s="3">
        <f t="shared" si="24"/>
        <v>1142000</v>
      </c>
      <c r="L551" s="3">
        <f t="shared" si="26"/>
        <v>108760.94570928196</v>
      </c>
      <c r="M551" s="10">
        <v>99.090041377693893</v>
      </c>
      <c r="N551" s="10">
        <v>9.0467891940271308</v>
      </c>
    </row>
    <row r="552" spans="1:14" hidden="1" x14ac:dyDescent="0.3">
      <c r="A552" s="5">
        <v>11</v>
      </c>
      <c r="B552" s="5" t="str">
        <f>_xlfn.XLOOKUP(D552,'[1]Viirs77-Sol'!$C$2:$C$694,'[1]Viirs77-Sol'!$A$2:$A$694)</f>
        <v>TH-84</v>
      </c>
      <c r="C552" s="5" t="str">
        <f>_xlfn.XLOOKUP(D552,cleanprovinces!$B:$B,cleanprovinces!$A:$A)</f>
        <v>SO</v>
      </c>
      <c r="D552" s="5" t="s">
        <v>67</v>
      </c>
      <c r="E552" s="6">
        <v>2020</v>
      </c>
      <c r="F552" s="7" cm="1">
        <f t="array" ref="F552">_xlfn.XLOOKUP(D552&amp;E552,'[1]Viirs77-Sol'!$C$2:$C$694&amp;'[1]Viirs77-Sol'!$D$2:$D$694,'[1]Viirs77-Sol'!$E$2:$E$694)</f>
        <v>33040.396630000003</v>
      </c>
      <c r="G552" s="7" cm="1">
        <f t="array" ref="G552">_xlfn.XLOOKUP(B552&amp;E552,'[2]Viirs77-Mean'!$A$2:$A$694&amp;'[2]Viirs77-Mean'!$D$2:$D$694,'[2]Viirs77-Mean'!$E$2:$E$694)</f>
        <v>0.52182130000000004</v>
      </c>
      <c r="H552" s="9" cm="1">
        <f t="array" ref="H552">_xlfn.XLOOKUP(D552,cleanprovinces!$B$2:$B$78,_xlfn.XLOOKUP(panel!E552,cleanprovinces!$C$1:$AC$1,cleanprovinces!$C$2:$AC$78,"no",0,1))</f>
        <v>106003</v>
      </c>
      <c r="I552" s="4">
        <f t="shared" si="25"/>
        <v>106003000000</v>
      </c>
      <c r="J552" s="3" cm="1">
        <f t="array" ref="J552">_xlfn.XLOOKUP(D552,[3]Sheet1!$B$2:$B$78,_xlfn.XLOOKUP(E552,[3]Sheet1!$C$1:$AC$1,[3]Sheet1!$C$2:$AC$78))</f>
        <v>1150</v>
      </c>
      <c r="K552" s="3">
        <f t="shared" si="24"/>
        <v>1150000</v>
      </c>
      <c r="L552" s="3">
        <f t="shared" si="26"/>
        <v>92176.521739130432</v>
      </c>
      <c r="M552" s="10">
        <v>99.090041377693893</v>
      </c>
      <c r="N552" s="10">
        <v>9.0467891940271308</v>
      </c>
    </row>
    <row r="553" spans="1:14" hidden="1" x14ac:dyDescent="0.3">
      <c r="A553" s="5">
        <v>11</v>
      </c>
      <c r="B553" s="5" t="str">
        <f>_xlfn.XLOOKUP(D553,'[1]Viirs77-Sol'!$C$2:$C$694,'[1]Viirs77-Sol'!$A$2:$A$694)</f>
        <v>TH-84</v>
      </c>
      <c r="C553" s="5" t="str">
        <f>_xlfn.XLOOKUP(D553,cleanprovinces!$B:$B,cleanprovinces!$A:$A)</f>
        <v>SO</v>
      </c>
      <c r="D553" s="5" t="s">
        <v>67</v>
      </c>
      <c r="E553" s="6">
        <v>2021</v>
      </c>
      <c r="F553" s="7" cm="1">
        <f t="array" ref="F553">_xlfn.XLOOKUP(D553&amp;E553,'[1]Viirs77-Sol'!$C$2:$C$694&amp;'[1]Viirs77-Sol'!$D$2:$D$694,'[1]Viirs77-Sol'!$E$2:$E$694)</f>
        <v>34399.03196</v>
      </c>
      <c r="G553" s="7" cm="1">
        <f t="array" ref="G553">_xlfn.XLOOKUP(B553&amp;E553,'[2]Viirs77-Mean'!$A$2:$A$694&amp;'[2]Viirs77-Mean'!$D$2:$D$694,'[2]Viirs77-Mean'!$E$2:$E$694)</f>
        <v>0.54327881700000002</v>
      </c>
      <c r="H553" s="9" cm="1">
        <f t="array" ref="H553">_xlfn.XLOOKUP(D553,cleanprovinces!$B$2:$B$78,_xlfn.XLOOKUP(panel!E553,cleanprovinces!$C$1:$AC$1,cleanprovinces!$C$2:$AC$78,"no",0,1))</f>
        <v>103051</v>
      </c>
      <c r="I553" s="4">
        <f t="shared" si="25"/>
        <v>103051000000</v>
      </c>
      <c r="J553" s="3" cm="1">
        <f t="array" ref="J553">_xlfn.XLOOKUP(D553,[3]Sheet1!$B$2:$B$78,_xlfn.XLOOKUP(E553,[3]Sheet1!$C$1:$AC$1,[3]Sheet1!$C$2:$AC$78))</f>
        <v>1157</v>
      </c>
      <c r="K553" s="3">
        <f t="shared" si="24"/>
        <v>1157000</v>
      </c>
      <c r="L553" s="3">
        <f t="shared" si="26"/>
        <v>89067.415730337074</v>
      </c>
      <c r="M553" s="10">
        <v>99.090041377693893</v>
      </c>
      <c r="N553" s="10">
        <v>9.0467891940271308</v>
      </c>
    </row>
    <row r="554" spans="1:14" hidden="1" x14ac:dyDescent="0.3">
      <c r="A554" s="5">
        <v>47</v>
      </c>
      <c r="B554" s="5" t="str">
        <f>_xlfn.XLOOKUP(D554,'[1]Viirs77-Sol'!$C$2:$C$694,'[1]Viirs77-Sol'!$A$2:$A$694)</f>
        <v>TH-92</v>
      </c>
      <c r="C554" s="5" t="str">
        <f>_xlfn.XLOOKUP(D554,cleanprovinces!$B:$B,cleanprovinces!$A:$A)</f>
        <v>SO</v>
      </c>
      <c r="D554" s="5" t="s">
        <v>76</v>
      </c>
      <c r="E554" s="6">
        <v>2014</v>
      </c>
      <c r="F554" s="7" cm="1">
        <f t="array" ref="F554">_xlfn.XLOOKUP(D554&amp;E554,'[1]Viirs77-Sol'!$C$2:$C$694&amp;'[1]Viirs77-Sol'!$D$2:$D$694,'[1]Viirs77-Sol'!$E$2:$E$694)</f>
        <v>9755.7413620000007</v>
      </c>
      <c r="G554" s="7" cm="1">
        <f t="array" ref="G554">_xlfn.XLOOKUP(B554&amp;E554,'[2]Viirs77-Mean'!$A$2:$A$694&amp;'[2]Viirs77-Mean'!$D$2:$D$694,'[2]Viirs77-Mean'!$E$2:$E$694)</f>
        <v>0.43997226299999997</v>
      </c>
      <c r="H554" s="9" cm="1">
        <f t="array" ref="H554">_xlfn.XLOOKUP(D554,cleanprovinces!$B$2:$B$78,_xlfn.XLOOKUP(panel!E554,cleanprovinces!$C$1:$AC$1,cleanprovinces!$C$2:$AC$78,"no",0,1))</f>
        <v>39917</v>
      </c>
      <c r="I554" s="4">
        <f t="shared" si="25"/>
        <v>39917000000</v>
      </c>
      <c r="J554" s="3" cm="1">
        <f t="array" ref="J554">_xlfn.XLOOKUP(D554,[3]Sheet1!$B$2:$B$78,_xlfn.XLOOKUP(E554,[3]Sheet1!$C$1:$AC$1,[3]Sheet1!$C$2:$AC$78))</f>
        <v>618</v>
      </c>
      <c r="K554" s="3">
        <f t="shared" si="24"/>
        <v>618000</v>
      </c>
      <c r="L554" s="3">
        <f t="shared" si="26"/>
        <v>64590.61488673139</v>
      </c>
      <c r="M554" s="10">
        <v>99.613009705404195</v>
      </c>
      <c r="N554" s="10">
        <v>7.5227712973332199</v>
      </c>
    </row>
    <row r="555" spans="1:14" hidden="1" x14ac:dyDescent="0.3">
      <c r="A555" s="5">
        <v>47</v>
      </c>
      <c r="B555" s="5" t="str">
        <f>_xlfn.XLOOKUP(D555,'[1]Viirs77-Sol'!$C$2:$C$694,'[1]Viirs77-Sol'!$A$2:$A$694)</f>
        <v>TH-92</v>
      </c>
      <c r="C555" s="5" t="str">
        <f>_xlfn.XLOOKUP(D555,cleanprovinces!$B:$B,cleanprovinces!$A:$A)</f>
        <v>SO</v>
      </c>
      <c r="D555" s="5" t="s">
        <v>76</v>
      </c>
      <c r="E555" s="6">
        <v>2015</v>
      </c>
      <c r="F555" s="7" cm="1">
        <f t="array" ref="F555">_xlfn.XLOOKUP(D555&amp;E555,'[1]Viirs77-Sol'!$C$2:$C$694&amp;'[1]Viirs77-Sol'!$D$2:$D$694,'[1]Viirs77-Sol'!$E$2:$E$694)</f>
        <v>10636.62204</v>
      </c>
      <c r="G555" s="7" cm="1">
        <f t="array" ref="G555">_xlfn.XLOOKUP(B555&amp;E555,'[2]Viirs77-Mean'!$A$2:$A$694&amp;'[2]Viirs77-Mean'!$D$2:$D$694,'[2]Viirs77-Mean'!$E$2:$E$694)</f>
        <v>0.47969892800000002</v>
      </c>
      <c r="H555" s="9" cm="1">
        <f t="array" ref="H555">_xlfn.XLOOKUP(D555,cleanprovinces!$B$2:$B$78,_xlfn.XLOOKUP(panel!E555,cleanprovinces!$C$1:$AC$1,cleanprovinces!$C$2:$AC$78,"no",0,1))</f>
        <v>38778</v>
      </c>
      <c r="I555" s="4">
        <f t="shared" si="25"/>
        <v>38778000000</v>
      </c>
      <c r="J555" s="3" cm="1">
        <f t="array" ref="J555">_xlfn.XLOOKUP(D555,[3]Sheet1!$B$2:$B$78,_xlfn.XLOOKUP(E555,[3]Sheet1!$C$1:$AC$1,[3]Sheet1!$C$2:$AC$78))</f>
        <v>622</v>
      </c>
      <c r="K555" s="3">
        <f t="shared" si="24"/>
        <v>622000</v>
      </c>
      <c r="L555" s="3">
        <f t="shared" si="26"/>
        <v>62344.051446945341</v>
      </c>
      <c r="M555" s="10">
        <v>99.613009705404195</v>
      </c>
      <c r="N555" s="10">
        <v>7.5227712973332199</v>
      </c>
    </row>
    <row r="556" spans="1:14" hidden="1" x14ac:dyDescent="0.3">
      <c r="A556" s="5">
        <v>47</v>
      </c>
      <c r="B556" s="5" t="str">
        <f>_xlfn.XLOOKUP(D556,'[1]Viirs77-Sol'!$C$2:$C$694,'[1]Viirs77-Sol'!$A$2:$A$694)</f>
        <v>TH-92</v>
      </c>
      <c r="C556" s="5" t="str">
        <f>_xlfn.XLOOKUP(D556,cleanprovinces!$B:$B,cleanprovinces!$A:$A)</f>
        <v>SO</v>
      </c>
      <c r="D556" s="5" t="s">
        <v>76</v>
      </c>
      <c r="E556" s="6">
        <v>2016</v>
      </c>
      <c r="F556" s="7" cm="1">
        <f t="array" ref="F556">_xlfn.XLOOKUP(D556&amp;E556,'[1]Viirs77-Sol'!$C$2:$C$694&amp;'[1]Viirs77-Sol'!$D$2:$D$694,'[1]Viirs77-Sol'!$E$2:$E$694)</f>
        <v>11533.10916</v>
      </c>
      <c r="G556" s="7" cm="1">
        <f t="array" ref="G556">_xlfn.XLOOKUP(B556&amp;E556,'[2]Viirs77-Mean'!$A$2:$A$694&amp;'[2]Viirs77-Mean'!$D$2:$D$694,'[2]Viirs77-Mean'!$E$2:$E$694)</f>
        <v>0.52012942399999995</v>
      </c>
      <c r="H556" s="9" cm="1">
        <f t="array" ref="H556">_xlfn.XLOOKUP(D556,cleanprovinces!$B$2:$B$78,_xlfn.XLOOKUP(panel!E556,cleanprovinces!$C$1:$AC$1,cleanprovinces!$C$2:$AC$78,"no",0,1))</f>
        <v>40391</v>
      </c>
      <c r="I556" s="4">
        <f t="shared" si="25"/>
        <v>40391000000</v>
      </c>
      <c r="J556" s="3" cm="1">
        <f t="array" ref="J556">_xlfn.XLOOKUP(D556,[3]Sheet1!$B$2:$B$78,_xlfn.XLOOKUP(E556,[3]Sheet1!$C$1:$AC$1,[3]Sheet1!$C$2:$AC$78))</f>
        <v>625</v>
      </c>
      <c r="K556" s="3">
        <f t="shared" si="24"/>
        <v>625000</v>
      </c>
      <c r="L556" s="3">
        <f t="shared" si="26"/>
        <v>64625.599999999999</v>
      </c>
      <c r="M556" s="10">
        <v>99.613009705404195</v>
      </c>
      <c r="N556" s="10">
        <v>7.5227712973332199</v>
      </c>
    </row>
    <row r="557" spans="1:14" hidden="1" x14ac:dyDescent="0.3">
      <c r="A557" s="5">
        <v>47</v>
      </c>
      <c r="B557" s="5" t="str">
        <f>_xlfn.XLOOKUP(D557,'[1]Viirs77-Sol'!$C$2:$C$694,'[1]Viirs77-Sol'!$A$2:$A$694)</f>
        <v>TH-92</v>
      </c>
      <c r="C557" s="5" t="str">
        <f>_xlfn.XLOOKUP(D557,cleanprovinces!$B:$B,cleanprovinces!$A:$A)</f>
        <v>SO</v>
      </c>
      <c r="D557" s="5" t="s">
        <v>76</v>
      </c>
      <c r="E557" s="6">
        <v>2017</v>
      </c>
      <c r="F557" s="7" cm="1">
        <f t="array" ref="F557">_xlfn.XLOOKUP(D557&amp;E557,'[1]Viirs77-Sol'!$C$2:$C$694&amp;'[1]Viirs77-Sol'!$D$2:$D$694,'[1]Viirs77-Sol'!$E$2:$E$694)</f>
        <v>14087.537469999999</v>
      </c>
      <c r="G557" s="7" cm="1">
        <f t="array" ref="G557">_xlfn.XLOOKUP(B557&amp;E557,'[2]Viirs77-Mean'!$A$2:$A$694&amp;'[2]Viirs77-Mean'!$D$2:$D$694,'[2]Viirs77-Mean'!$E$2:$E$694)</f>
        <v>0.63533108400000005</v>
      </c>
      <c r="H557" s="9" cm="1">
        <f t="array" ref="H557">_xlfn.XLOOKUP(D557,cleanprovinces!$B$2:$B$78,_xlfn.XLOOKUP(panel!E557,cleanprovinces!$C$1:$AC$1,cleanprovinces!$C$2:$AC$78,"no",0,1))</f>
        <v>40568</v>
      </c>
      <c r="I557" s="4">
        <f t="shared" si="25"/>
        <v>40568000000</v>
      </c>
      <c r="J557" s="3" cm="1">
        <f t="array" ref="J557">_xlfn.XLOOKUP(D557,[3]Sheet1!$B$2:$B$78,_xlfn.XLOOKUP(E557,[3]Sheet1!$C$1:$AC$1,[3]Sheet1!$C$2:$AC$78))</f>
        <v>628</v>
      </c>
      <c r="K557" s="3">
        <f t="shared" si="24"/>
        <v>628000</v>
      </c>
      <c r="L557" s="3">
        <f t="shared" si="26"/>
        <v>64598.726114649682</v>
      </c>
      <c r="M557" s="10">
        <v>99.613009705404195</v>
      </c>
      <c r="N557" s="10">
        <v>7.5227712973332199</v>
      </c>
    </row>
    <row r="558" spans="1:14" hidden="1" x14ac:dyDescent="0.3">
      <c r="A558" s="5">
        <v>47</v>
      </c>
      <c r="B558" s="5" t="str">
        <f>_xlfn.XLOOKUP(D558,'[1]Viirs77-Sol'!$C$2:$C$694,'[1]Viirs77-Sol'!$A$2:$A$694)</f>
        <v>TH-92</v>
      </c>
      <c r="C558" s="5" t="str">
        <f>_xlfn.XLOOKUP(D558,cleanprovinces!$B:$B,cleanprovinces!$A:$A)</f>
        <v>SO</v>
      </c>
      <c r="D558" s="5" t="s">
        <v>76</v>
      </c>
      <c r="E558" s="6">
        <v>2018</v>
      </c>
      <c r="F558" s="7" cm="1">
        <f t="array" ref="F558">_xlfn.XLOOKUP(D558&amp;E558,'[1]Viirs77-Sol'!$C$2:$C$694&amp;'[1]Viirs77-Sol'!$D$2:$D$694,'[1]Viirs77-Sol'!$E$2:$E$694)</f>
        <v>15595.59974</v>
      </c>
      <c r="G558" s="7" cm="1">
        <f t="array" ref="G558">_xlfn.XLOOKUP(B558&amp;E558,'[2]Viirs77-Mean'!$A$2:$A$694&amp;'[2]Viirs77-Mean'!$D$2:$D$694,'[2]Viirs77-Mean'!$E$2:$E$694)</f>
        <v>0.70334288899999997</v>
      </c>
      <c r="H558" s="9" cm="1">
        <f t="array" ref="H558">_xlfn.XLOOKUP(D558,cleanprovinces!$B$2:$B$78,_xlfn.XLOOKUP(panel!E558,cleanprovinces!$C$1:$AC$1,cleanprovinces!$C$2:$AC$78,"no",0,1))</f>
        <v>38830</v>
      </c>
      <c r="I558" s="4">
        <f t="shared" si="25"/>
        <v>38830000000</v>
      </c>
      <c r="J558" s="3" cm="1">
        <f t="array" ref="J558">_xlfn.XLOOKUP(D558,[3]Sheet1!$B$2:$B$78,_xlfn.XLOOKUP(E558,[3]Sheet1!$C$1:$AC$1,[3]Sheet1!$C$2:$AC$78))</f>
        <v>630</v>
      </c>
      <c r="K558" s="3">
        <f t="shared" si="24"/>
        <v>630000</v>
      </c>
      <c r="L558" s="3">
        <f t="shared" si="26"/>
        <v>61634.920634920636</v>
      </c>
      <c r="M558" s="10">
        <v>99.613009705404195</v>
      </c>
      <c r="N558" s="10">
        <v>7.5227712973332199</v>
      </c>
    </row>
    <row r="559" spans="1:14" hidden="1" x14ac:dyDescent="0.3">
      <c r="A559" s="5">
        <v>47</v>
      </c>
      <c r="B559" s="5" t="str">
        <f>_xlfn.XLOOKUP(D559,'[1]Viirs77-Sol'!$C$2:$C$694,'[1]Viirs77-Sol'!$A$2:$A$694)</f>
        <v>TH-92</v>
      </c>
      <c r="C559" s="5" t="str">
        <f>_xlfn.XLOOKUP(D559,cleanprovinces!$B:$B,cleanprovinces!$A:$A)</f>
        <v>SO</v>
      </c>
      <c r="D559" s="5" t="s">
        <v>76</v>
      </c>
      <c r="E559" s="6">
        <v>2019</v>
      </c>
      <c r="F559" s="7" cm="1">
        <f t="array" ref="F559">_xlfn.XLOOKUP(D559&amp;E559,'[1]Viirs77-Sol'!$C$2:$C$694&amp;'[1]Viirs77-Sol'!$D$2:$D$694,'[1]Viirs77-Sol'!$E$2:$E$694)</f>
        <v>15650.389499999999</v>
      </c>
      <c r="G559" s="7" cm="1">
        <f t="array" ref="G559">_xlfn.XLOOKUP(B559&amp;E559,'[2]Viirs77-Mean'!$A$2:$A$694&amp;'[2]Viirs77-Mean'!$D$2:$D$694,'[2]Viirs77-Mean'!$E$2:$E$694)</f>
        <v>0.705813841</v>
      </c>
      <c r="H559" s="9" cm="1">
        <f t="array" ref="H559">_xlfn.XLOOKUP(D559,cleanprovinces!$B$2:$B$78,_xlfn.XLOOKUP(panel!E559,cleanprovinces!$C$1:$AC$1,cleanprovinces!$C$2:$AC$78,"no",0,1))</f>
        <v>38070</v>
      </c>
      <c r="I559" s="4">
        <f t="shared" si="25"/>
        <v>38070000000</v>
      </c>
      <c r="J559" s="3" cm="1">
        <f t="array" ref="J559">_xlfn.XLOOKUP(D559,[3]Sheet1!$B$2:$B$78,_xlfn.XLOOKUP(E559,[3]Sheet1!$C$1:$AC$1,[3]Sheet1!$C$2:$AC$78))</f>
        <v>631</v>
      </c>
      <c r="K559" s="3">
        <f t="shared" si="24"/>
        <v>631000</v>
      </c>
      <c r="L559" s="3">
        <f t="shared" si="26"/>
        <v>60332.805071315372</v>
      </c>
      <c r="M559" s="10">
        <v>99.613009705404195</v>
      </c>
      <c r="N559" s="10">
        <v>7.5227712973332199</v>
      </c>
    </row>
    <row r="560" spans="1:14" hidden="1" x14ac:dyDescent="0.3">
      <c r="A560" s="5">
        <v>47</v>
      </c>
      <c r="B560" s="5" t="str">
        <f>_xlfn.XLOOKUP(D560,'[1]Viirs77-Sol'!$C$2:$C$694,'[1]Viirs77-Sol'!$A$2:$A$694)</f>
        <v>TH-92</v>
      </c>
      <c r="C560" s="5" t="str">
        <f>_xlfn.XLOOKUP(D560,cleanprovinces!$B:$B,cleanprovinces!$A:$A)</f>
        <v>SO</v>
      </c>
      <c r="D560" s="8" t="s">
        <v>76</v>
      </c>
      <c r="E560" s="6">
        <v>2020</v>
      </c>
      <c r="F560" s="7" cm="1">
        <f t="array" ref="F560">_xlfn.XLOOKUP(D560&amp;E560,'[1]Viirs77-Sol'!$C$2:$C$694&amp;'[1]Viirs77-Sol'!$D$2:$D$694,'[1]Viirs77-Sol'!$E$2:$E$694)</f>
        <v>17401.621640000001</v>
      </c>
      <c r="G560" s="7" cm="1">
        <f t="array" ref="G560">_xlfn.XLOOKUP(B560&amp;E560,'[2]Viirs77-Mean'!$A$2:$A$694&amp;'[2]Viirs77-Mean'!$D$2:$D$694,'[2]Viirs77-Mean'!$E$2:$E$694)</f>
        <v>0.78479231500000002</v>
      </c>
      <c r="H560" s="9" cm="1">
        <f t="array" ref="H560">_xlfn.XLOOKUP(D560,cleanprovinces!$B$2:$B$78,_xlfn.XLOOKUP(panel!E560,cleanprovinces!$C$1:$AC$1,cleanprovinces!$C$2:$AC$78,"no",0,1))</f>
        <v>38526</v>
      </c>
      <c r="I560" s="4">
        <f t="shared" si="25"/>
        <v>38526000000</v>
      </c>
      <c r="J560" s="3" cm="1">
        <f t="array" ref="J560">_xlfn.XLOOKUP(D560,[3]Sheet1!$B$2:$B$78,_xlfn.XLOOKUP(E560,[3]Sheet1!$C$1:$AC$1,[3]Sheet1!$C$2:$AC$78))</f>
        <v>632</v>
      </c>
      <c r="K560" s="3">
        <f t="shared" si="24"/>
        <v>632000</v>
      </c>
      <c r="L560" s="3">
        <f t="shared" si="26"/>
        <v>60958.860759493669</v>
      </c>
      <c r="M560" s="10">
        <v>99.613009705404195</v>
      </c>
      <c r="N560" s="10">
        <v>7.5227712973332199</v>
      </c>
    </row>
    <row r="561" spans="1:14" hidden="1" x14ac:dyDescent="0.3">
      <c r="A561" s="5">
        <v>47</v>
      </c>
      <c r="B561" s="5" t="str">
        <f>_xlfn.XLOOKUP(D561,'[1]Viirs77-Sol'!$C$2:$C$694,'[1]Viirs77-Sol'!$A$2:$A$694)</f>
        <v>TH-92</v>
      </c>
      <c r="C561" s="5" t="str">
        <f>_xlfn.XLOOKUP(D561,cleanprovinces!$B:$B,cleanprovinces!$A:$A)</f>
        <v>SO</v>
      </c>
      <c r="D561" s="5" t="s">
        <v>76</v>
      </c>
      <c r="E561" s="6">
        <v>2021</v>
      </c>
      <c r="F561" s="7" cm="1">
        <f t="array" ref="F561">_xlfn.XLOOKUP(D561&amp;E561,'[1]Viirs77-Sol'!$C$2:$C$694&amp;'[1]Viirs77-Sol'!$D$2:$D$694,'[1]Viirs77-Sol'!$E$2:$E$694)</f>
        <v>19764.711670000001</v>
      </c>
      <c r="G561" s="7" cm="1">
        <f t="array" ref="G561">_xlfn.XLOOKUP(B561&amp;E561,'[2]Viirs77-Mean'!$A$2:$A$694&amp;'[2]Viirs77-Mean'!$D$2:$D$694,'[2]Viirs77-Mean'!$E$2:$E$694)</f>
        <v>0.89136484800000004</v>
      </c>
      <c r="H561" s="9" cm="1">
        <f t="array" ref="H561">_xlfn.XLOOKUP(D561,cleanprovinces!$B$2:$B$78,_xlfn.XLOOKUP(panel!E561,cleanprovinces!$C$1:$AC$1,cleanprovinces!$C$2:$AC$78,"no",0,1))</f>
        <v>39320</v>
      </c>
      <c r="I561" s="4">
        <f t="shared" si="25"/>
        <v>39320000000</v>
      </c>
      <c r="J561" s="3" cm="1">
        <f t="array" ref="J561">_xlfn.XLOOKUP(D561,[3]Sheet1!$B$2:$B$78,_xlfn.XLOOKUP(E561,[3]Sheet1!$C$1:$AC$1,[3]Sheet1!$C$2:$AC$78))</f>
        <v>632</v>
      </c>
      <c r="K561" s="3">
        <f t="shared" si="24"/>
        <v>632000</v>
      </c>
      <c r="L561" s="3">
        <f t="shared" si="26"/>
        <v>62215.189873417723</v>
      </c>
      <c r="M561" s="10">
        <v>99.613009705404195</v>
      </c>
      <c r="N561" s="10">
        <v>7.5227712973332199</v>
      </c>
    </row>
    <row r="562" spans="1:14" hidden="1" x14ac:dyDescent="0.3">
      <c r="A562" s="5">
        <v>33</v>
      </c>
      <c r="B562" s="5" t="str">
        <f>_xlfn.XLOOKUP(D562,'[1]Viirs77-Sol'!$C$2:$C$694,'[1]Viirs77-Sol'!$A$2:$A$694)</f>
        <v>TH-95</v>
      </c>
      <c r="C562" s="5" t="str">
        <f>_xlfn.XLOOKUP(D562,cleanprovinces!$B:$B,cleanprovinces!$A:$A)</f>
        <v>SO</v>
      </c>
      <c r="D562" s="5" t="s">
        <v>75</v>
      </c>
      <c r="E562" s="6">
        <v>2014</v>
      </c>
      <c r="F562" s="7" cm="1">
        <f t="array" ref="F562">_xlfn.XLOOKUP(D562&amp;E562,'[1]Viirs77-Sol'!$C$2:$C$694&amp;'[1]Viirs77-Sol'!$D$2:$D$694,'[1]Viirs77-Sol'!$E$2:$E$694)</f>
        <v>7837.3002550000001</v>
      </c>
      <c r="G562" s="7" cm="1">
        <f t="array" ref="G562">_xlfn.XLOOKUP(B562&amp;E562,'[2]Viirs77-Mean'!$A$2:$A$694&amp;'[2]Viirs77-Mean'!$D$2:$D$694,'[2]Viirs77-Mean'!$E$2:$E$694)</f>
        <v>0.369638299</v>
      </c>
      <c r="H562" s="9" cm="1">
        <f t="array" ref="H562">_xlfn.XLOOKUP(D562,cleanprovinces!$B$2:$B$78,_xlfn.XLOOKUP(panel!E562,cleanprovinces!$C$1:$AC$1,cleanprovinces!$C$2:$AC$78,"no",0,1))</f>
        <v>22666</v>
      </c>
      <c r="I562" s="4">
        <f t="shared" si="25"/>
        <v>22666000000</v>
      </c>
      <c r="J562" s="3" cm="1">
        <f t="array" ref="J562">_xlfn.XLOOKUP(D562,[3]Sheet1!$B$2:$B$78,_xlfn.XLOOKUP(E562,[3]Sheet1!$C$1:$AC$1,[3]Sheet1!$C$2:$AC$78))</f>
        <v>453</v>
      </c>
      <c r="K562" s="3">
        <f t="shared" si="24"/>
        <v>453000</v>
      </c>
      <c r="L562" s="3">
        <f t="shared" si="26"/>
        <v>50035.320088300221</v>
      </c>
      <c r="M562" s="10">
        <v>101.233545376902</v>
      </c>
      <c r="N562" s="10">
        <v>6.1883908230766904</v>
      </c>
    </row>
    <row r="563" spans="1:14" hidden="1" x14ac:dyDescent="0.3">
      <c r="A563" s="5">
        <v>33</v>
      </c>
      <c r="B563" s="5" t="str">
        <f>_xlfn.XLOOKUP(D563,'[1]Viirs77-Sol'!$C$2:$C$694,'[1]Viirs77-Sol'!$A$2:$A$694)</f>
        <v>TH-95</v>
      </c>
      <c r="C563" s="5" t="str">
        <f>_xlfn.XLOOKUP(D563,cleanprovinces!$B:$B,cleanprovinces!$A:$A)</f>
        <v>SO</v>
      </c>
      <c r="D563" s="5" t="s">
        <v>75</v>
      </c>
      <c r="E563" s="6">
        <v>2015</v>
      </c>
      <c r="F563" s="7" cm="1">
        <f t="array" ref="F563">_xlfn.XLOOKUP(D563&amp;E563,'[1]Viirs77-Sol'!$C$2:$C$694&amp;'[1]Viirs77-Sol'!$D$2:$D$694,'[1]Viirs77-Sol'!$E$2:$E$694)</f>
        <v>8609.3648420000009</v>
      </c>
      <c r="G563" s="7" cm="1">
        <f t="array" ref="G563">_xlfn.XLOOKUP(B563&amp;E563,'[2]Viirs77-Mean'!$A$2:$A$694&amp;'[2]Viirs77-Mean'!$D$2:$D$694,'[2]Viirs77-Mean'!$E$2:$E$694)</f>
        <v>0.40605194100000003</v>
      </c>
      <c r="H563" s="9" cm="1">
        <f t="array" ref="H563">_xlfn.XLOOKUP(D563,cleanprovinces!$B$2:$B$78,_xlfn.XLOOKUP(panel!E563,cleanprovinces!$C$1:$AC$1,cleanprovinces!$C$2:$AC$78,"no",0,1))</f>
        <v>22114</v>
      </c>
      <c r="I563" s="4">
        <f t="shared" si="25"/>
        <v>22114000000</v>
      </c>
      <c r="J563" s="3" cm="1">
        <f t="array" ref="J563">_xlfn.XLOOKUP(D563,[3]Sheet1!$B$2:$B$78,_xlfn.XLOOKUP(E563,[3]Sheet1!$C$1:$AC$1,[3]Sheet1!$C$2:$AC$78))</f>
        <v>459</v>
      </c>
      <c r="K563" s="3">
        <f t="shared" si="24"/>
        <v>459000</v>
      </c>
      <c r="L563" s="3">
        <f t="shared" si="26"/>
        <v>48178.649237472768</v>
      </c>
      <c r="M563" s="10">
        <v>101.233545376902</v>
      </c>
      <c r="N563" s="10">
        <v>6.1883908230766904</v>
      </c>
    </row>
    <row r="564" spans="1:14" hidden="1" x14ac:dyDescent="0.3">
      <c r="A564" s="5">
        <v>33</v>
      </c>
      <c r="B564" s="5" t="str">
        <f>_xlfn.XLOOKUP(D564,'[1]Viirs77-Sol'!$C$2:$C$694,'[1]Viirs77-Sol'!$A$2:$A$694)</f>
        <v>TH-95</v>
      </c>
      <c r="C564" s="5" t="str">
        <f>_xlfn.XLOOKUP(D564,cleanprovinces!$B:$B,cleanprovinces!$A:$A)</f>
        <v>SO</v>
      </c>
      <c r="D564" s="5" t="s">
        <v>75</v>
      </c>
      <c r="E564" s="6">
        <v>2016</v>
      </c>
      <c r="F564" s="7" cm="1">
        <f t="array" ref="F564">_xlfn.XLOOKUP(D564&amp;E564,'[1]Viirs77-Sol'!$C$2:$C$694&amp;'[1]Viirs77-Sol'!$D$2:$D$694,'[1]Viirs77-Sol'!$E$2:$E$694)</f>
        <v>9332.5019830000001</v>
      </c>
      <c r="G564" s="7" cm="1">
        <f t="array" ref="G564">_xlfn.XLOOKUP(B564&amp;E564,'[2]Viirs77-Mean'!$A$2:$A$694&amp;'[2]Viirs77-Mean'!$D$2:$D$694,'[2]Viirs77-Mean'!$E$2:$E$694)</f>
        <v>0.44015796899999998</v>
      </c>
      <c r="H564" s="9" cm="1">
        <f t="array" ref="H564">_xlfn.XLOOKUP(D564,cleanprovinces!$B$2:$B$78,_xlfn.XLOOKUP(panel!E564,cleanprovinces!$C$1:$AC$1,cleanprovinces!$C$2:$AC$78,"no",0,1))</f>
        <v>23452</v>
      </c>
      <c r="I564" s="4">
        <f t="shared" si="25"/>
        <v>23452000000</v>
      </c>
      <c r="J564" s="3" cm="1">
        <f t="array" ref="J564">_xlfn.XLOOKUP(D564,[3]Sheet1!$B$2:$B$78,_xlfn.XLOOKUP(E564,[3]Sheet1!$C$1:$AC$1,[3]Sheet1!$C$2:$AC$78))</f>
        <v>462</v>
      </c>
      <c r="K564" s="3">
        <f t="shared" si="24"/>
        <v>462000</v>
      </c>
      <c r="L564" s="3">
        <f t="shared" si="26"/>
        <v>50761.904761904763</v>
      </c>
      <c r="M564" s="10">
        <v>101.233545376902</v>
      </c>
      <c r="N564" s="10">
        <v>6.1883908230766904</v>
      </c>
    </row>
    <row r="565" spans="1:14" hidden="1" x14ac:dyDescent="0.3">
      <c r="A565" s="5">
        <v>33</v>
      </c>
      <c r="B565" s="5" t="str">
        <f>_xlfn.XLOOKUP(D565,'[1]Viirs77-Sol'!$C$2:$C$694,'[1]Viirs77-Sol'!$A$2:$A$694)</f>
        <v>TH-95</v>
      </c>
      <c r="C565" s="5" t="str">
        <f>_xlfn.XLOOKUP(D565,cleanprovinces!$B:$B,cleanprovinces!$A:$A)</f>
        <v>SO</v>
      </c>
      <c r="D565" s="5" t="s">
        <v>75</v>
      </c>
      <c r="E565" s="6">
        <v>2017</v>
      </c>
      <c r="F565" s="7" cm="1">
        <f t="array" ref="F565">_xlfn.XLOOKUP(D565&amp;E565,'[1]Viirs77-Sol'!$C$2:$C$694&amp;'[1]Viirs77-Sol'!$D$2:$D$694,'[1]Viirs77-Sol'!$E$2:$E$694)</f>
        <v>10723.410879999999</v>
      </c>
      <c r="G565" s="7" cm="1">
        <f t="array" ref="G565">_xlfn.XLOOKUP(B565&amp;E565,'[2]Viirs77-Mean'!$A$2:$A$694&amp;'[2]Viirs77-Mean'!$D$2:$D$694,'[2]Viirs77-Mean'!$E$2:$E$694)</f>
        <v>0.50575877300000005</v>
      </c>
      <c r="H565" s="9" cm="1">
        <f t="array" ref="H565">_xlfn.XLOOKUP(D565,cleanprovinces!$B$2:$B$78,_xlfn.XLOOKUP(panel!E565,cleanprovinces!$C$1:$AC$1,cleanprovinces!$C$2:$AC$78,"no",0,1))</f>
        <v>22451</v>
      </c>
      <c r="I565" s="4">
        <f t="shared" si="25"/>
        <v>22451000000</v>
      </c>
      <c r="J565" s="3" cm="1">
        <f t="array" ref="J565">_xlfn.XLOOKUP(D565,[3]Sheet1!$B$2:$B$78,_xlfn.XLOOKUP(E565,[3]Sheet1!$C$1:$AC$1,[3]Sheet1!$C$2:$AC$78))</f>
        <v>465</v>
      </c>
      <c r="K565" s="3">
        <f t="shared" si="24"/>
        <v>465000</v>
      </c>
      <c r="L565" s="3">
        <f t="shared" si="26"/>
        <v>48281.720430107525</v>
      </c>
      <c r="M565" s="10">
        <v>101.233545376902</v>
      </c>
      <c r="N565" s="10">
        <v>6.1883908230766904</v>
      </c>
    </row>
    <row r="566" spans="1:14" hidden="1" x14ac:dyDescent="0.3">
      <c r="A566" s="5">
        <v>33</v>
      </c>
      <c r="B566" s="5" t="str">
        <f>_xlfn.XLOOKUP(D566,'[1]Viirs77-Sol'!$C$2:$C$694,'[1]Viirs77-Sol'!$A$2:$A$694)</f>
        <v>TH-95</v>
      </c>
      <c r="C566" s="5" t="str">
        <f>_xlfn.XLOOKUP(D566,cleanprovinces!$B:$B,cleanprovinces!$A:$A)</f>
        <v>SO</v>
      </c>
      <c r="D566" s="5" t="s">
        <v>75</v>
      </c>
      <c r="E566" s="6">
        <v>2018</v>
      </c>
      <c r="F566" s="7" cm="1">
        <f t="array" ref="F566">_xlfn.XLOOKUP(D566&amp;E566,'[1]Viirs77-Sol'!$C$2:$C$694&amp;'[1]Viirs77-Sol'!$D$2:$D$694,'[1]Viirs77-Sol'!$E$2:$E$694)</f>
        <v>11979.809929999999</v>
      </c>
      <c r="G566" s="7" cm="1">
        <f t="array" ref="G566">_xlfn.XLOOKUP(B566&amp;E566,'[2]Viirs77-Mean'!$A$2:$A$694&amp;'[2]Viirs77-Mean'!$D$2:$D$694,'[2]Viirs77-Mean'!$E$2:$E$694)</f>
        <v>0.56501555699999995</v>
      </c>
      <c r="H566" s="9" cm="1">
        <f t="array" ref="H566">_xlfn.XLOOKUP(D566,cleanprovinces!$B$2:$B$78,_xlfn.XLOOKUP(panel!E566,cleanprovinces!$C$1:$AC$1,cleanprovinces!$C$2:$AC$78,"no",0,1))</f>
        <v>24833</v>
      </c>
      <c r="I566" s="4">
        <f t="shared" si="25"/>
        <v>24833000000</v>
      </c>
      <c r="J566" s="3" cm="1">
        <f t="array" ref="J566">_xlfn.XLOOKUP(D566,[3]Sheet1!$B$2:$B$78,_xlfn.XLOOKUP(E566,[3]Sheet1!$C$1:$AC$1,[3]Sheet1!$C$2:$AC$78))</f>
        <v>468</v>
      </c>
      <c r="K566" s="3">
        <f t="shared" si="24"/>
        <v>468000</v>
      </c>
      <c r="L566" s="3">
        <f t="shared" si="26"/>
        <v>53061.965811965812</v>
      </c>
      <c r="M566" s="10">
        <v>101.233545376902</v>
      </c>
      <c r="N566" s="10">
        <v>6.1883908230766904</v>
      </c>
    </row>
    <row r="567" spans="1:14" hidden="1" x14ac:dyDescent="0.3">
      <c r="A567" s="5">
        <v>33</v>
      </c>
      <c r="B567" s="5" t="str">
        <f>_xlfn.XLOOKUP(D567,'[1]Viirs77-Sol'!$C$2:$C$694,'[1]Viirs77-Sol'!$A$2:$A$694)</f>
        <v>TH-95</v>
      </c>
      <c r="C567" s="5" t="str">
        <f>_xlfn.XLOOKUP(D567,cleanprovinces!$B:$B,cleanprovinces!$A:$A)</f>
        <v>SO</v>
      </c>
      <c r="D567" s="5" t="s">
        <v>75</v>
      </c>
      <c r="E567" s="6">
        <v>2019</v>
      </c>
      <c r="F567" s="7" cm="1">
        <f t="array" ref="F567">_xlfn.XLOOKUP(D567&amp;E567,'[1]Viirs77-Sol'!$C$2:$C$694&amp;'[1]Viirs77-Sol'!$D$2:$D$694,'[1]Viirs77-Sol'!$E$2:$E$694)</f>
        <v>11208.3591</v>
      </c>
      <c r="G567" s="7" cm="1">
        <f t="array" ref="G567">_xlfn.XLOOKUP(B567&amp;E567,'[2]Viirs77-Mean'!$A$2:$A$694&amp;'[2]Viirs77-Mean'!$D$2:$D$694,'[2]Viirs77-Mean'!$E$2:$E$694)</f>
        <v>0.52863086299999995</v>
      </c>
      <c r="H567" s="9" cm="1">
        <f t="array" ref="H567">_xlfn.XLOOKUP(D567,cleanprovinces!$B$2:$B$78,_xlfn.XLOOKUP(panel!E567,cleanprovinces!$C$1:$AC$1,cleanprovinces!$C$2:$AC$78,"no",0,1))</f>
        <v>24785</v>
      </c>
      <c r="I567" s="4">
        <f t="shared" si="25"/>
        <v>24785000000</v>
      </c>
      <c r="J567" s="3" cm="1">
        <f t="array" ref="J567">_xlfn.XLOOKUP(D567,[3]Sheet1!$B$2:$B$78,_xlfn.XLOOKUP(E567,[3]Sheet1!$C$1:$AC$1,[3]Sheet1!$C$2:$AC$78))</f>
        <v>472</v>
      </c>
      <c r="K567" s="3">
        <f t="shared" si="24"/>
        <v>472000</v>
      </c>
      <c r="L567" s="3">
        <f t="shared" si="26"/>
        <v>52510.593220338982</v>
      </c>
      <c r="M567" s="10">
        <v>101.233545376902</v>
      </c>
      <c r="N567" s="10">
        <v>6.1883908230766904</v>
      </c>
    </row>
    <row r="568" spans="1:14" hidden="1" x14ac:dyDescent="0.3">
      <c r="A568" s="5">
        <v>33</v>
      </c>
      <c r="B568" s="5" t="str">
        <f>_xlfn.XLOOKUP(D568,'[1]Viirs77-Sol'!$C$2:$C$694,'[1]Viirs77-Sol'!$A$2:$A$694)</f>
        <v>TH-95</v>
      </c>
      <c r="C568" s="5" t="str">
        <f>_xlfn.XLOOKUP(D568,cleanprovinces!$B:$B,cleanprovinces!$A:$A)</f>
        <v>SO</v>
      </c>
      <c r="D568" s="5" t="s">
        <v>75</v>
      </c>
      <c r="E568" s="6">
        <v>2020</v>
      </c>
      <c r="F568" s="7" cm="1">
        <f t="array" ref="F568">_xlfn.XLOOKUP(D568&amp;E568,'[1]Viirs77-Sol'!$C$2:$C$694&amp;'[1]Viirs77-Sol'!$D$2:$D$694,'[1]Viirs77-Sol'!$E$2:$E$694)</f>
        <v>12463.83404</v>
      </c>
      <c r="G568" s="7" cm="1">
        <f t="array" ref="G568">_xlfn.XLOOKUP(B568&amp;E568,'[2]Viirs77-Mean'!$A$2:$A$694&amp;'[2]Viirs77-Mean'!$D$2:$D$694,'[2]Viirs77-Mean'!$E$2:$E$694)</f>
        <v>0.58784406199999995</v>
      </c>
      <c r="H568" s="9" cm="1">
        <f t="array" ref="H568">_xlfn.XLOOKUP(D568,cleanprovinces!$B$2:$B$78,_xlfn.XLOOKUP(panel!E568,cleanprovinces!$C$1:$AC$1,cleanprovinces!$C$2:$AC$78,"no",0,1))</f>
        <v>25352</v>
      </c>
      <c r="I568" s="4">
        <f t="shared" si="25"/>
        <v>25352000000</v>
      </c>
      <c r="J568" s="3" cm="1">
        <f t="array" ref="J568">_xlfn.XLOOKUP(D568,[3]Sheet1!$B$2:$B$78,_xlfn.XLOOKUP(E568,[3]Sheet1!$C$1:$AC$1,[3]Sheet1!$C$2:$AC$78))</f>
        <v>475</v>
      </c>
      <c r="K568" s="3">
        <f t="shared" si="24"/>
        <v>475000</v>
      </c>
      <c r="L568" s="3">
        <f t="shared" si="26"/>
        <v>53372.631578947367</v>
      </c>
      <c r="M568" s="10">
        <v>101.233545376902</v>
      </c>
      <c r="N568" s="10">
        <v>6.1883908230766904</v>
      </c>
    </row>
    <row r="569" spans="1:14" hidden="1" x14ac:dyDescent="0.3">
      <c r="A569" s="5">
        <v>33</v>
      </c>
      <c r="B569" s="5" t="str">
        <f>_xlfn.XLOOKUP(D569,'[1]Viirs77-Sol'!$C$2:$C$694,'[1]Viirs77-Sol'!$A$2:$A$694)</f>
        <v>TH-95</v>
      </c>
      <c r="C569" s="5" t="str">
        <f>_xlfn.XLOOKUP(D569,cleanprovinces!$B:$B,cleanprovinces!$A:$A)</f>
        <v>SO</v>
      </c>
      <c r="D569" s="5" t="s">
        <v>75</v>
      </c>
      <c r="E569" s="6">
        <v>2021</v>
      </c>
      <c r="F569" s="7" cm="1">
        <f t="array" ref="F569">_xlfn.XLOOKUP(D569&amp;E569,'[1]Viirs77-Sol'!$C$2:$C$694&amp;'[1]Viirs77-Sol'!$D$2:$D$694,'[1]Viirs77-Sol'!$E$2:$E$694)</f>
        <v>15514.316580000001</v>
      </c>
      <c r="G569" s="7" cm="1">
        <f t="array" ref="G569">_xlfn.XLOOKUP(B569&amp;E569,'[2]Viirs77-Mean'!$A$2:$A$694&amp;'[2]Viirs77-Mean'!$D$2:$D$694,'[2]Viirs77-Mean'!$E$2:$E$694)</f>
        <v>0.73171697000000002</v>
      </c>
      <c r="H569" s="9" cm="1">
        <f t="array" ref="H569">_xlfn.XLOOKUP(D569,cleanprovinces!$B$2:$B$78,_xlfn.XLOOKUP(panel!E569,cleanprovinces!$C$1:$AC$1,cleanprovinces!$C$2:$AC$78,"no",0,1))</f>
        <v>25884</v>
      </c>
      <c r="I569" s="4">
        <f t="shared" si="25"/>
        <v>25884000000</v>
      </c>
      <c r="J569" s="3" cm="1">
        <f t="array" ref="J569">_xlfn.XLOOKUP(D569,[3]Sheet1!$B$2:$B$78,_xlfn.XLOOKUP(E569,[3]Sheet1!$C$1:$AC$1,[3]Sheet1!$C$2:$AC$78))</f>
        <v>478</v>
      </c>
      <c r="K569" s="3">
        <f t="shared" si="24"/>
        <v>478000</v>
      </c>
      <c r="L569" s="3">
        <f t="shared" si="26"/>
        <v>54150.62761506276</v>
      </c>
      <c r="M569" s="10">
        <v>101.233545376902</v>
      </c>
      <c r="N569" s="10">
        <v>6.1883908230766904</v>
      </c>
    </row>
    <row r="570" spans="1:14" hidden="1" x14ac:dyDescent="0.3">
      <c r="A570" s="5">
        <v>73</v>
      </c>
      <c r="B570" s="5" t="str">
        <f>_xlfn.XLOOKUP(D570,'[1]Viirs77-Sol'!$C$2:$C$694,'[1]Viirs77-Sol'!$A$2:$A$694)</f>
        <v>TH-71</v>
      </c>
      <c r="C570" s="5" t="str">
        <f>_xlfn.XLOOKUP(D570,cleanprovinces!$B:$B,cleanprovinces!$A:$A)</f>
        <v>WE</v>
      </c>
      <c r="D570" s="5" t="s">
        <v>91</v>
      </c>
      <c r="E570" s="6">
        <v>2014</v>
      </c>
      <c r="F570" s="7" cm="1">
        <f t="array" ref="F570">_xlfn.XLOOKUP(D570&amp;E570,'[1]Viirs77-Sol'!$C$2:$C$694&amp;'[1]Viirs77-Sol'!$D$2:$D$694,'[1]Viirs77-Sol'!$E$2:$E$694)</f>
        <v>18831.899679999999</v>
      </c>
      <c r="G570" s="7" cm="1">
        <f t="array" ref="G570">_xlfn.XLOOKUP(B570&amp;E570,'[2]Viirs77-Mean'!$A$2:$A$694&amp;'[2]Viirs77-Mean'!$D$2:$D$694,'[2]Viirs77-Mean'!$E$2:$E$694)</f>
        <v>0.19950889499999999</v>
      </c>
      <c r="H570" s="9" cm="1">
        <f t="array" ref="H570">_xlfn.XLOOKUP(D570,cleanprovinces!$B$2:$B$78,_xlfn.XLOOKUP(panel!E570,cleanprovinces!$C$1:$AC$1,cleanprovinces!$C$2:$AC$78,"no",0,1))</f>
        <v>57978</v>
      </c>
      <c r="I570" s="4">
        <f t="shared" si="25"/>
        <v>57978000000</v>
      </c>
      <c r="J570" s="3" cm="1">
        <f t="array" ref="J570">_xlfn.XLOOKUP(D570,[3]Sheet1!$B$2:$B$78,_xlfn.XLOOKUP(E570,[3]Sheet1!$C$1:$AC$1,[3]Sheet1!$C$2:$AC$78))</f>
        <v>815</v>
      </c>
      <c r="K570" s="3">
        <f t="shared" si="24"/>
        <v>815000</v>
      </c>
      <c r="L570" s="3">
        <f t="shared" si="26"/>
        <v>71138.650306748459</v>
      </c>
      <c r="M570" s="10">
        <v>99.050758470532202</v>
      </c>
      <c r="N570" s="10">
        <v>14.5852477364331</v>
      </c>
    </row>
    <row r="571" spans="1:14" hidden="1" x14ac:dyDescent="0.3">
      <c r="A571" s="5">
        <v>73</v>
      </c>
      <c r="B571" s="5" t="str">
        <f>_xlfn.XLOOKUP(D571,'[1]Viirs77-Sol'!$C$2:$C$694,'[1]Viirs77-Sol'!$A$2:$A$694)</f>
        <v>TH-71</v>
      </c>
      <c r="C571" s="5" t="str">
        <f>_xlfn.XLOOKUP(D571,cleanprovinces!$B:$B,cleanprovinces!$A:$A)</f>
        <v>WE</v>
      </c>
      <c r="D571" s="5" t="s">
        <v>91</v>
      </c>
      <c r="E571" s="6">
        <v>2015</v>
      </c>
      <c r="F571" s="7" cm="1">
        <f t="array" ref="F571">_xlfn.XLOOKUP(D571&amp;E571,'[1]Viirs77-Sol'!$C$2:$C$694&amp;'[1]Viirs77-Sol'!$D$2:$D$694,'[1]Viirs77-Sol'!$E$2:$E$694)</f>
        <v>22614.144759999999</v>
      </c>
      <c r="G571" s="7" cm="1">
        <f t="array" ref="G571">_xlfn.XLOOKUP(B571&amp;E571,'[2]Viirs77-Mean'!$A$2:$A$694&amp;'[2]Viirs77-Mean'!$D$2:$D$694,'[2]Viirs77-Mean'!$E$2:$E$694)</f>
        <v>0.23957875300000001</v>
      </c>
      <c r="H571" s="9" cm="1">
        <f t="array" ref="H571">_xlfn.XLOOKUP(D571,cleanprovinces!$B$2:$B$78,_xlfn.XLOOKUP(panel!E571,cleanprovinces!$C$1:$AC$1,cleanprovinces!$C$2:$AC$78,"no",0,1))</f>
        <v>58240</v>
      </c>
      <c r="I571" s="4">
        <f t="shared" si="25"/>
        <v>58240000000</v>
      </c>
      <c r="J571" s="3" cm="1">
        <f t="array" ref="J571">_xlfn.XLOOKUP(D571,[3]Sheet1!$B$2:$B$78,_xlfn.XLOOKUP(E571,[3]Sheet1!$C$1:$AC$1,[3]Sheet1!$C$2:$AC$78))</f>
        <v>818</v>
      </c>
      <c r="K571" s="3">
        <f t="shared" si="24"/>
        <v>818000</v>
      </c>
      <c r="L571" s="3">
        <f t="shared" si="26"/>
        <v>71198.044009779958</v>
      </c>
      <c r="M571" s="10">
        <v>99.050758470532202</v>
      </c>
      <c r="N571" s="10">
        <v>14.5852477364331</v>
      </c>
    </row>
    <row r="572" spans="1:14" hidden="1" x14ac:dyDescent="0.3">
      <c r="A572" s="5">
        <v>73</v>
      </c>
      <c r="B572" s="5" t="str">
        <f>_xlfn.XLOOKUP(D572,'[1]Viirs77-Sol'!$C$2:$C$694,'[1]Viirs77-Sol'!$A$2:$A$694)</f>
        <v>TH-71</v>
      </c>
      <c r="C572" s="5" t="str">
        <f>_xlfn.XLOOKUP(D572,cleanprovinces!$B:$B,cleanprovinces!$A:$A)</f>
        <v>WE</v>
      </c>
      <c r="D572" s="5" t="s">
        <v>91</v>
      </c>
      <c r="E572" s="6">
        <v>2016</v>
      </c>
      <c r="F572" s="7" cm="1">
        <f t="array" ref="F572">_xlfn.XLOOKUP(D572&amp;E572,'[1]Viirs77-Sol'!$C$2:$C$694&amp;'[1]Viirs77-Sol'!$D$2:$D$694,'[1]Viirs77-Sol'!$E$2:$E$694)</f>
        <v>23224.274799999999</v>
      </c>
      <c r="G572" s="7" cm="1">
        <f t="array" ref="G572">_xlfn.XLOOKUP(B572&amp;E572,'[2]Viirs77-Mean'!$A$2:$A$694&amp;'[2]Viirs77-Mean'!$D$2:$D$694,'[2]Viirs77-Mean'!$E$2:$E$694)</f>
        <v>0.246042592</v>
      </c>
      <c r="H572" s="9" cm="1">
        <f t="array" ref="H572">_xlfn.XLOOKUP(D572,cleanprovinces!$B$2:$B$78,_xlfn.XLOOKUP(panel!E572,cleanprovinces!$C$1:$AC$1,cleanprovinces!$C$2:$AC$78,"no",0,1))</f>
        <v>58790</v>
      </c>
      <c r="I572" s="4">
        <f t="shared" si="25"/>
        <v>58790000000</v>
      </c>
      <c r="J572" s="3" cm="1">
        <f t="array" ref="J572">_xlfn.XLOOKUP(D572,[3]Sheet1!$B$2:$B$78,_xlfn.XLOOKUP(E572,[3]Sheet1!$C$1:$AC$1,[3]Sheet1!$C$2:$AC$78))</f>
        <v>822</v>
      </c>
      <c r="K572" s="3">
        <f t="shared" si="24"/>
        <v>822000</v>
      </c>
      <c r="L572" s="3">
        <f t="shared" si="26"/>
        <v>71520.681265206818</v>
      </c>
      <c r="M572" s="10">
        <v>99.050758470532202</v>
      </c>
      <c r="N572" s="10">
        <v>14.5852477364331</v>
      </c>
    </row>
    <row r="573" spans="1:14" hidden="1" x14ac:dyDescent="0.3">
      <c r="A573" s="5">
        <v>73</v>
      </c>
      <c r="B573" s="5" t="str">
        <f>_xlfn.XLOOKUP(D573,'[1]Viirs77-Sol'!$C$2:$C$694,'[1]Viirs77-Sol'!$A$2:$A$694)</f>
        <v>TH-71</v>
      </c>
      <c r="C573" s="5" t="str">
        <f>_xlfn.XLOOKUP(D573,cleanprovinces!$B:$B,cleanprovinces!$A:$A)</f>
        <v>WE</v>
      </c>
      <c r="D573" s="5" t="s">
        <v>91</v>
      </c>
      <c r="E573" s="6">
        <v>2017</v>
      </c>
      <c r="F573" s="7" cm="1">
        <f t="array" ref="F573">_xlfn.XLOOKUP(D573&amp;E573,'[1]Viirs77-Sol'!$C$2:$C$694&amp;'[1]Viirs77-Sol'!$D$2:$D$694,'[1]Viirs77-Sol'!$E$2:$E$694)</f>
        <v>27365.416079999999</v>
      </c>
      <c r="G573" s="7" cm="1">
        <f t="array" ref="G573">_xlfn.XLOOKUP(B573&amp;E573,'[2]Viirs77-Mean'!$A$2:$A$694&amp;'[2]Viirs77-Mean'!$D$2:$D$694,'[2]Viirs77-Mean'!$E$2:$E$694)</f>
        <v>0.28991466700000001</v>
      </c>
      <c r="H573" s="9" cm="1">
        <f t="array" ref="H573">_xlfn.XLOOKUP(D573,cleanprovinces!$B$2:$B$78,_xlfn.XLOOKUP(panel!E573,cleanprovinces!$C$1:$AC$1,cleanprovinces!$C$2:$AC$78,"no",0,1))</f>
        <v>60455</v>
      </c>
      <c r="I573" s="4">
        <f t="shared" si="25"/>
        <v>60455000000</v>
      </c>
      <c r="J573" s="3" cm="1">
        <f t="array" ref="J573">_xlfn.XLOOKUP(D573,[3]Sheet1!$B$2:$B$78,_xlfn.XLOOKUP(E573,[3]Sheet1!$C$1:$AC$1,[3]Sheet1!$C$2:$AC$78))</f>
        <v>825</v>
      </c>
      <c r="K573" s="3">
        <f t="shared" si="24"/>
        <v>825000</v>
      </c>
      <c r="L573" s="3">
        <f t="shared" si="26"/>
        <v>73278.787878787873</v>
      </c>
      <c r="M573" s="10">
        <v>99.050758470532202</v>
      </c>
      <c r="N573" s="10">
        <v>14.5852477364331</v>
      </c>
    </row>
    <row r="574" spans="1:14" hidden="1" x14ac:dyDescent="0.3">
      <c r="A574" s="5">
        <v>73</v>
      </c>
      <c r="B574" s="5" t="str">
        <f>_xlfn.XLOOKUP(D574,'[1]Viirs77-Sol'!$C$2:$C$694,'[1]Viirs77-Sol'!$A$2:$A$694)</f>
        <v>TH-71</v>
      </c>
      <c r="C574" s="5" t="str">
        <f>_xlfn.XLOOKUP(D574,cleanprovinces!$B:$B,cleanprovinces!$A:$A)</f>
        <v>WE</v>
      </c>
      <c r="D574" s="5" t="s">
        <v>91</v>
      </c>
      <c r="E574" s="6">
        <v>2018</v>
      </c>
      <c r="F574" s="7" cm="1">
        <f t="array" ref="F574">_xlfn.XLOOKUP(D574&amp;E574,'[1]Viirs77-Sol'!$C$2:$C$694&amp;'[1]Viirs77-Sol'!$D$2:$D$694,'[1]Viirs77-Sol'!$E$2:$E$694)</f>
        <v>27834.949049999999</v>
      </c>
      <c r="G574" s="7" cm="1">
        <f t="array" ref="G574">_xlfn.XLOOKUP(B574&amp;E574,'[2]Viirs77-Mean'!$A$2:$A$694&amp;'[2]Viirs77-Mean'!$D$2:$D$694,'[2]Viirs77-Mean'!$E$2:$E$694)</f>
        <v>0.29488899299999999</v>
      </c>
      <c r="H574" s="9" cm="1">
        <f t="array" ref="H574">_xlfn.XLOOKUP(D574,cleanprovinces!$B$2:$B$78,_xlfn.XLOOKUP(panel!E574,cleanprovinces!$C$1:$AC$1,cleanprovinces!$C$2:$AC$78,"no",0,1))</f>
        <v>68048</v>
      </c>
      <c r="I574" s="4">
        <f t="shared" si="25"/>
        <v>68048000000</v>
      </c>
      <c r="J574" s="3" cm="1">
        <f t="array" ref="J574">_xlfn.XLOOKUP(D574,[3]Sheet1!$B$2:$B$78,_xlfn.XLOOKUP(E574,[3]Sheet1!$C$1:$AC$1,[3]Sheet1!$C$2:$AC$78))</f>
        <v>829</v>
      </c>
      <c r="K574" s="3">
        <f t="shared" si="24"/>
        <v>829000</v>
      </c>
      <c r="L574" s="3">
        <f t="shared" si="26"/>
        <v>82084.439083232806</v>
      </c>
      <c r="M574" s="10">
        <v>99.050758470532202</v>
      </c>
      <c r="N574" s="10">
        <v>14.5852477364331</v>
      </c>
    </row>
    <row r="575" spans="1:14" hidden="1" x14ac:dyDescent="0.3">
      <c r="A575" s="5">
        <v>73</v>
      </c>
      <c r="B575" s="5" t="str">
        <f>_xlfn.XLOOKUP(D575,'[1]Viirs77-Sol'!$C$2:$C$694,'[1]Viirs77-Sol'!$A$2:$A$694)</f>
        <v>TH-71</v>
      </c>
      <c r="C575" s="5" t="str">
        <f>_xlfn.XLOOKUP(D575,cleanprovinces!$B:$B,cleanprovinces!$A:$A)</f>
        <v>WE</v>
      </c>
      <c r="D575" s="5" t="s">
        <v>91</v>
      </c>
      <c r="E575" s="6">
        <v>2019</v>
      </c>
      <c r="F575" s="7" cm="1">
        <f t="array" ref="F575">_xlfn.XLOOKUP(D575&amp;E575,'[1]Viirs77-Sol'!$C$2:$C$694&amp;'[1]Viirs77-Sol'!$D$2:$D$694,'[1]Viirs77-Sol'!$E$2:$E$694)</f>
        <v>30020.82951</v>
      </c>
      <c r="G575" s="7" cm="1">
        <f t="array" ref="G575">_xlfn.XLOOKUP(B575&amp;E575,'[2]Viirs77-Mean'!$A$2:$A$694&amp;'[2]Viirs77-Mean'!$D$2:$D$694,'[2]Viirs77-Mean'!$E$2:$E$694)</f>
        <v>0.31804664599999999</v>
      </c>
      <c r="H575" s="9" cm="1">
        <f t="array" ref="H575">_xlfn.XLOOKUP(D575,cleanprovinces!$B$2:$B$78,_xlfn.XLOOKUP(panel!E575,cleanprovinces!$C$1:$AC$1,cleanprovinces!$C$2:$AC$78,"no",0,1))</f>
        <v>68646</v>
      </c>
      <c r="I575" s="4">
        <f t="shared" si="25"/>
        <v>68646000000</v>
      </c>
      <c r="J575" s="3" cm="1">
        <f t="array" ref="J575">_xlfn.XLOOKUP(D575,[3]Sheet1!$B$2:$B$78,_xlfn.XLOOKUP(E575,[3]Sheet1!$C$1:$AC$1,[3]Sheet1!$C$2:$AC$78))</f>
        <v>830</v>
      </c>
      <c r="K575" s="3">
        <f t="shared" si="24"/>
        <v>830000</v>
      </c>
      <c r="L575" s="3">
        <f t="shared" si="26"/>
        <v>82706.024096385547</v>
      </c>
      <c r="M575" s="10">
        <v>99.050758470532202</v>
      </c>
      <c r="N575" s="10">
        <v>14.5852477364331</v>
      </c>
    </row>
    <row r="576" spans="1:14" hidden="1" x14ac:dyDescent="0.3">
      <c r="A576" s="5">
        <v>73</v>
      </c>
      <c r="B576" s="5" t="str">
        <f>_xlfn.XLOOKUP(D576,'[1]Viirs77-Sol'!$C$2:$C$694,'[1]Viirs77-Sol'!$A$2:$A$694)</f>
        <v>TH-71</v>
      </c>
      <c r="C576" s="5" t="str">
        <f>_xlfn.XLOOKUP(D576,cleanprovinces!$B:$B,cleanprovinces!$A:$A)</f>
        <v>WE</v>
      </c>
      <c r="D576" s="5" t="s">
        <v>91</v>
      </c>
      <c r="E576" s="6">
        <v>2020</v>
      </c>
      <c r="F576" s="7" cm="1">
        <f t="array" ref="F576">_xlfn.XLOOKUP(D576&amp;E576,'[1]Viirs77-Sol'!$C$2:$C$694&amp;'[1]Viirs77-Sol'!$D$2:$D$694,'[1]Viirs77-Sol'!$E$2:$E$694)</f>
        <v>31231.54132</v>
      </c>
      <c r="G576" s="7" cm="1">
        <f t="array" ref="G576">_xlfn.XLOOKUP(B576&amp;E576,'[2]Viirs77-Mean'!$A$2:$A$694&amp;'[2]Viirs77-Mean'!$D$2:$D$694,'[2]Viirs77-Mean'!$E$2:$E$694)</f>
        <v>0.330873168</v>
      </c>
      <c r="H576" s="9" cm="1">
        <f t="array" ref="H576">_xlfn.XLOOKUP(D576,cleanprovinces!$B$2:$B$78,_xlfn.XLOOKUP(panel!E576,cleanprovinces!$C$1:$AC$1,cleanprovinces!$C$2:$AC$78,"no",0,1))</f>
        <v>63407</v>
      </c>
      <c r="I576" s="4">
        <f t="shared" si="25"/>
        <v>63407000000</v>
      </c>
      <c r="J576" s="3" cm="1">
        <f t="array" ref="J576">_xlfn.XLOOKUP(D576,[3]Sheet1!$B$2:$B$78,_xlfn.XLOOKUP(E576,[3]Sheet1!$C$1:$AC$1,[3]Sheet1!$C$2:$AC$78))</f>
        <v>832</v>
      </c>
      <c r="K576" s="3">
        <f t="shared" si="24"/>
        <v>832000</v>
      </c>
      <c r="L576" s="3">
        <f t="shared" si="26"/>
        <v>76210.336538461532</v>
      </c>
      <c r="M576" s="10">
        <v>99.050758470532202</v>
      </c>
      <c r="N576" s="10">
        <v>14.5852477364331</v>
      </c>
    </row>
    <row r="577" spans="1:14" hidden="1" x14ac:dyDescent="0.3">
      <c r="A577" s="5">
        <v>73</v>
      </c>
      <c r="B577" s="5" t="str">
        <f>_xlfn.XLOOKUP(D577,'[1]Viirs77-Sol'!$C$2:$C$694,'[1]Viirs77-Sol'!$A$2:$A$694)</f>
        <v>TH-71</v>
      </c>
      <c r="C577" s="5" t="str">
        <f>_xlfn.XLOOKUP(D577,cleanprovinces!$B:$B,cleanprovinces!$A:$A)</f>
        <v>WE</v>
      </c>
      <c r="D577" s="5" t="s">
        <v>91</v>
      </c>
      <c r="E577" s="6">
        <v>2021</v>
      </c>
      <c r="F577" s="7" cm="1">
        <f t="array" ref="F577">_xlfn.XLOOKUP(D577&amp;E577,'[1]Viirs77-Sol'!$C$2:$C$694&amp;'[1]Viirs77-Sol'!$D$2:$D$694,'[1]Viirs77-Sol'!$E$2:$E$694)</f>
        <v>36019.05573</v>
      </c>
      <c r="G577" s="7" cm="1">
        <f t="array" ref="G577">_xlfn.XLOOKUP(B577&amp;E577,'[2]Viirs77-Mean'!$A$2:$A$694&amp;'[2]Viirs77-Mean'!$D$2:$D$694,'[2]Viirs77-Mean'!$E$2:$E$694)</f>
        <v>0.38159304900000002</v>
      </c>
      <c r="H577" s="9" cm="1">
        <f t="array" ref="H577">_xlfn.XLOOKUP(D577,cleanprovinces!$B$2:$B$78,_xlfn.XLOOKUP(panel!E577,cleanprovinces!$C$1:$AC$1,cleanprovinces!$C$2:$AC$78,"no",0,1))</f>
        <v>64492</v>
      </c>
      <c r="I577" s="4">
        <f t="shared" si="25"/>
        <v>64492000000</v>
      </c>
      <c r="J577" s="3" cm="1">
        <f t="array" ref="J577">_xlfn.XLOOKUP(D577,[3]Sheet1!$B$2:$B$78,_xlfn.XLOOKUP(E577,[3]Sheet1!$C$1:$AC$1,[3]Sheet1!$C$2:$AC$78))</f>
        <v>833</v>
      </c>
      <c r="K577" s="3">
        <f t="shared" si="24"/>
        <v>833000</v>
      </c>
      <c r="L577" s="3">
        <f t="shared" si="26"/>
        <v>77421.36854741897</v>
      </c>
      <c r="M577" s="10">
        <v>99.050758470532202</v>
      </c>
      <c r="N577" s="10">
        <v>14.5852477364331</v>
      </c>
    </row>
    <row r="578" spans="1:14" hidden="1" x14ac:dyDescent="0.3">
      <c r="A578" s="5">
        <v>42</v>
      </c>
      <c r="B578" s="5" t="str">
        <f>_xlfn.XLOOKUP(D578,'[1]Viirs77-Sol'!$C$2:$C$694,'[1]Viirs77-Sol'!$A$2:$A$694)</f>
        <v>TH-77</v>
      </c>
      <c r="C578" s="5" t="str">
        <f>_xlfn.XLOOKUP(D578,cleanprovinces!$B:$B,cleanprovinces!$A:$A)</f>
        <v>WE</v>
      </c>
      <c r="D578" s="5" t="s">
        <v>92</v>
      </c>
      <c r="E578" s="6">
        <v>2014</v>
      </c>
      <c r="F578" s="7" cm="1">
        <f t="array" ref="F578">_xlfn.XLOOKUP(D578&amp;E578,'[1]Viirs77-Sol'!$C$2:$C$694&amp;'[1]Viirs77-Sol'!$D$2:$D$694,'[1]Viirs77-Sol'!$E$2:$E$694)</f>
        <v>15361.99992</v>
      </c>
      <c r="G578" s="7" cm="1">
        <f t="array" ref="G578">_xlfn.XLOOKUP(B578&amp;E578,'[2]Viirs77-Mean'!$A$2:$A$694&amp;'[2]Viirs77-Mean'!$D$2:$D$694,'[2]Viirs77-Mean'!$E$2:$E$694)</f>
        <v>0.50588749600000005</v>
      </c>
      <c r="H578" s="9" cm="1">
        <f t="array" ref="H578">_xlfn.XLOOKUP(D578,cleanprovinces!$B$2:$B$78,_xlfn.XLOOKUP(panel!E578,cleanprovinces!$C$1:$AC$1,cleanprovinces!$C$2:$AC$78,"no",0,1))</f>
        <v>56406</v>
      </c>
      <c r="I578" s="4">
        <f t="shared" si="25"/>
        <v>56406000000</v>
      </c>
      <c r="J578" s="3" cm="1">
        <f t="array" ref="J578">_xlfn.XLOOKUP(D578,[3]Sheet1!$B$2:$B$78,_xlfn.XLOOKUP(E578,[3]Sheet1!$C$1:$AC$1,[3]Sheet1!$C$2:$AC$78))</f>
        <v>482</v>
      </c>
      <c r="K578" s="3">
        <f t="shared" ref="K578:K617" si="27">J578*1000</f>
        <v>482000</v>
      </c>
      <c r="L578" s="3">
        <f t="shared" si="26"/>
        <v>117024.89626556016</v>
      </c>
      <c r="M578" s="10">
        <v>99.632089979095099</v>
      </c>
      <c r="N578" s="10">
        <v>11.9301003821649</v>
      </c>
    </row>
    <row r="579" spans="1:14" hidden="1" x14ac:dyDescent="0.3">
      <c r="A579" s="5">
        <v>42</v>
      </c>
      <c r="B579" s="5" t="str">
        <f>_xlfn.XLOOKUP(D579,'[1]Viirs77-Sol'!$C$2:$C$694,'[1]Viirs77-Sol'!$A$2:$A$694)</f>
        <v>TH-77</v>
      </c>
      <c r="C579" s="5" t="str">
        <f>_xlfn.XLOOKUP(D579,cleanprovinces!$B:$B,cleanprovinces!$A:$A)</f>
        <v>WE</v>
      </c>
      <c r="D579" s="5" t="s">
        <v>92</v>
      </c>
      <c r="E579" s="6">
        <v>2015</v>
      </c>
      <c r="F579" s="7" cm="1">
        <f t="array" ref="F579">_xlfn.XLOOKUP(D579&amp;E579,'[1]Viirs77-Sol'!$C$2:$C$694&amp;'[1]Viirs77-Sol'!$D$2:$D$694,'[1]Viirs77-Sol'!$E$2:$E$694)</f>
        <v>17023.499100000001</v>
      </c>
      <c r="G579" s="7" cm="1">
        <f t="array" ref="G579">_xlfn.XLOOKUP(B579&amp;E579,'[2]Viirs77-Mean'!$A$2:$A$694&amp;'[2]Viirs77-Mean'!$D$2:$D$694,'[2]Viirs77-Mean'!$E$2:$E$694)</f>
        <v>0.56060248499999998</v>
      </c>
      <c r="H579" s="9" cm="1">
        <f t="array" ref="H579">_xlfn.XLOOKUP(D579,cleanprovinces!$B$2:$B$78,_xlfn.XLOOKUP(panel!E579,cleanprovinces!$C$1:$AC$1,cleanprovinces!$C$2:$AC$78,"no",0,1))</f>
        <v>57397</v>
      </c>
      <c r="I579" s="4">
        <f t="shared" ref="I579:I617" si="28">H579*1000000</f>
        <v>57397000000</v>
      </c>
      <c r="J579" s="3" cm="1">
        <f t="array" ref="J579">_xlfn.XLOOKUP(D579,[3]Sheet1!$B$2:$B$78,_xlfn.XLOOKUP(E579,[3]Sheet1!$C$1:$AC$1,[3]Sheet1!$C$2:$AC$78))</f>
        <v>486</v>
      </c>
      <c r="K579" s="3">
        <f t="shared" si="27"/>
        <v>486000</v>
      </c>
      <c r="L579" s="3">
        <f t="shared" ref="L579:L617" si="29">I579/K579</f>
        <v>118100.82304526749</v>
      </c>
      <c r="M579" s="10">
        <v>99.632089979095099</v>
      </c>
      <c r="N579" s="10">
        <v>11.9301003821649</v>
      </c>
    </row>
    <row r="580" spans="1:14" hidden="1" x14ac:dyDescent="0.3">
      <c r="A580" s="5">
        <v>42</v>
      </c>
      <c r="B580" s="5" t="str">
        <f>_xlfn.XLOOKUP(D580,'[1]Viirs77-Sol'!$C$2:$C$694,'[1]Viirs77-Sol'!$A$2:$A$694)</f>
        <v>TH-77</v>
      </c>
      <c r="C580" s="5" t="str">
        <f>_xlfn.XLOOKUP(D580,cleanprovinces!$B:$B,cleanprovinces!$A:$A)</f>
        <v>WE</v>
      </c>
      <c r="D580" s="5" t="s">
        <v>92</v>
      </c>
      <c r="E580" s="6">
        <v>2016</v>
      </c>
      <c r="F580" s="7" cm="1">
        <f t="array" ref="F580">_xlfn.XLOOKUP(D580&amp;E580,'[1]Viirs77-Sol'!$C$2:$C$694&amp;'[1]Viirs77-Sol'!$D$2:$D$694,'[1]Viirs77-Sol'!$E$2:$E$694)</f>
        <v>17262.233929999999</v>
      </c>
      <c r="G580" s="7" cm="1">
        <f t="array" ref="G580">_xlfn.XLOOKUP(B580&amp;E580,'[2]Viirs77-Mean'!$A$2:$A$694&amp;'[2]Viirs77-Mean'!$D$2:$D$694,'[2]Viirs77-Mean'!$E$2:$E$694)</f>
        <v>0.56846428500000001</v>
      </c>
      <c r="H580" s="9" cm="1">
        <f t="array" ref="H580">_xlfn.XLOOKUP(D580,cleanprovinces!$B$2:$B$78,_xlfn.XLOOKUP(panel!E580,cleanprovinces!$C$1:$AC$1,cleanprovinces!$C$2:$AC$78,"no",0,1))</f>
        <v>59522</v>
      </c>
      <c r="I580" s="4">
        <f t="shared" si="28"/>
        <v>59522000000</v>
      </c>
      <c r="J580" s="3" cm="1">
        <f t="array" ref="J580">_xlfn.XLOOKUP(D580,[3]Sheet1!$B$2:$B$78,_xlfn.XLOOKUP(E580,[3]Sheet1!$C$1:$AC$1,[3]Sheet1!$C$2:$AC$78))</f>
        <v>489</v>
      </c>
      <c r="K580" s="3">
        <f t="shared" si="27"/>
        <v>489000</v>
      </c>
      <c r="L580" s="3">
        <f t="shared" si="29"/>
        <v>121721.88139059304</v>
      </c>
      <c r="M580" s="10">
        <v>99.632089979095099</v>
      </c>
      <c r="N580" s="10">
        <v>11.9301003821649</v>
      </c>
    </row>
    <row r="581" spans="1:14" hidden="1" x14ac:dyDescent="0.3">
      <c r="A581" s="5">
        <v>42</v>
      </c>
      <c r="B581" s="5" t="str">
        <f>_xlfn.XLOOKUP(D581,'[1]Viirs77-Sol'!$C$2:$C$694,'[1]Viirs77-Sol'!$A$2:$A$694)</f>
        <v>TH-77</v>
      </c>
      <c r="C581" s="5" t="str">
        <f>_xlfn.XLOOKUP(D581,cleanprovinces!$B:$B,cleanprovinces!$A:$A)</f>
        <v>WE</v>
      </c>
      <c r="D581" s="5" t="s">
        <v>92</v>
      </c>
      <c r="E581" s="6">
        <v>2017</v>
      </c>
      <c r="F581" s="7" cm="1">
        <f t="array" ref="F581">_xlfn.XLOOKUP(D581&amp;E581,'[1]Viirs77-Sol'!$C$2:$C$694&amp;'[1]Viirs77-Sol'!$D$2:$D$694,'[1]Viirs77-Sol'!$E$2:$E$694)</f>
        <v>20024.229009999999</v>
      </c>
      <c r="G581" s="7" cm="1">
        <f t="array" ref="G581">_xlfn.XLOOKUP(B581&amp;E581,'[2]Viirs77-Mean'!$A$2:$A$694&amp;'[2]Viirs77-Mean'!$D$2:$D$694,'[2]Viirs77-Mean'!$E$2:$E$694)</f>
        <v>0.65941981100000002</v>
      </c>
      <c r="H581" s="9" cm="1">
        <f t="array" ref="H581">_xlfn.XLOOKUP(D581,cleanprovinces!$B$2:$B$78,_xlfn.XLOOKUP(panel!E581,cleanprovinces!$C$1:$AC$1,cleanprovinces!$C$2:$AC$78,"no",0,1))</f>
        <v>65442</v>
      </c>
      <c r="I581" s="4">
        <f t="shared" si="28"/>
        <v>65442000000</v>
      </c>
      <c r="J581" s="3" cm="1">
        <f t="array" ref="J581">_xlfn.XLOOKUP(D581,[3]Sheet1!$B$2:$B$78,_xlfn.XLOOKUP(E581,[3]Sheet1!$C$1:$AC$1,[3]Sheet1!$C$2:$AC$78))</f>
        <v>488</v>
      </c>
      <c r="K581" s="3">
        <f t="shared" si="27"/>
        <v>488000</v>
      </c>
      <c r="L581" s="3">
        <f t="shared" si="29"/>
        <v>134102.45901639343</v>
      </c>
      <c r="M581" s="10">
        <v>99.632089979095099</v>
      </c>
      <c r="N581" s="10">
        <v>11.9301003821649</v>
      </c>
    </row>
    <row r="582" spans="1:14" hidden="1" x14ac:dyDescent="0.3">
      <c r="A582" s="5">
        <v>42</v>
      </c>
      <c r="B582" s="5" t="str">
        <f>_xlfn.XLOOKUP(D582,'[1]Viirs77-Sol'!$C$2:$C$694,'[1]Viirs77-Sol'!$A$2:$A$694)</f>
        <v>TH-77</v>
      </c>
      <c r="C582" s="5" t="str">
        <f>_xlfn.XLOOKUP(D582,cleanprovinces!$B:$B,cleanprovinces!$A:$A)</f>
        <v>WE</v>
      </c>
      <c r="D582" s="5" t="s">
        <v>92</v>
      </c>
      <c r="E582" s="6">
        <v>2018</v>
      </c>
      <c r="F582" s="7" cm="1">
        <f t="array" ref="F582">_xlfn.XLOOKUP(D582&amp;E582,'[1]Viirs77-Sol'!$C$2:$C$694&amp;'[1]Viirs77-Sol'!$D$2:$D$694,'[1]Viirs77-Sol'!$E$2:$E$694)</f>
        <v>21672.534489999998</v>
      </c>
      <c r="G582" s="7" cm="1">
        <f t="array" ref="G582">_xlfn.XLOOKUP(B582&amp;E582,'[2]Viirs77-Mean'!$A$2:$A$694&amp;'[2]Viirs77-Mean'!$D$2:$D$694,'[2]Viirs77-Mean'!$E$2:$E$694)</f>
        <v>0.71370031700000003</v>
      </c>
      <c r="H582" s="9" cm="1">
        <f t="array" ref="H582">_xlfn.XLOOKUP(D582,cleanprovinces!$B$2:$B$78,_xlfn.XLOOKUP(panel!E582,cleanprovinces!$C$1:$AC$1,cleanprovinces!$C$2:$AC$78,"no",0,1))</f>
        <v>68925</v>
      </c>
      <c r="I582" s="4">
        <f t="shared" si="28"/>
        <v>68925000000</v>
      </c>
      <c r="J582" s="3" cm="1">
        <f t="array" ref="J582">_xlfn.XLOOKUP(D582,[3]Sheet1!$B$2:$B$78,_xlfn.XLOOKUP(E582,[3]Sheet1!$C$1:$AC$1,[3]Sheet1!$C$2:$AC$78))</f>
        <v>488</v>
      </c>
      <c r="K582" s="3">
        <f t="shared" si="27"/>
        <v>488000</v>
      </c>
      <c r="L582" s="3">
        <f t="shared" si="29"/>
        <v>141239.75409836066</v>
      </c>
      <c r="M582" s="10">
        <v>99.632089979095099</v>
      </c>
      <c r="N582" s="10">
        <v>11.9301003821649</v>
      </c>
    </row>
    <row r="583" spans="1:14" hidden="1" x14ac:dyDescent="0.3">
      <c r="A583" s="5">
        <v>42</v>
      </c>
      <c r="B583" s="5" t="str">
        <f>_xlfn.XLOOKUP(D583,'[1]Viirs77-Sol'!$C$2:$C$694,'[1]Viirs77-Sol'!$A$2:$A$694)</f>
        <v>TH-77</v>
      </c>
      <c r="C583" s="5" t="str">
        <f>_xlfn.XLOOKUP(D583,cleanprovinces!$B:$B,cleanprovinces!$A:$A)</f>
        <v>WE</v>
      </c>
      <c r="D583" s="5" t="s">
        <v>92</v>
      </c>
      <c r="E583" s="6">
        <v>2019</v>
      </c>
      <c r="F583" s="7" cm="1">
        <f t="array" ref="F583">_xlfn.XLOOKUP(D583&amp;E583,'[1]Viirs77-Sol'!$C$2:$C$694&amp;'[1]Viirs77-Sol'!$D$2:$D$694,'[1]Viirs77-Sol'!$E$2:$E$694)</f>
        <v>22676.886020000002</v>
      </c>
      <c r="G583" s="7" cm="1">
        <f t="array" ref="G583">_xlfn.XLOOKUP(B583&amp;E583,'[2]Viirs77-Mean'!$A$2:$A$694&amp;'[2]Viirs77-Mean'!$D$2:$D$694,'[2]Viirs77-Mean'!$E$2:$E$694)</f>
        <v>0.74677471399999995</v>
      </c>
      <c r="H583" s="9" cm="1">
        <f t="array" ref="H583">_xlfn.XLOOKUP(D583,cleanprovinces!$B$2:$B$78,_xlfn.XLOOKUP(panel!E583,cleanprovinces!$C$1:$AC$1,cleanprovinces!$C$2:$AC$78,"no",0,1))</f>
        <v>69440</v>
      </c>
      <c r="I583" s="4">
        <f t="shared" si="28"/>
        <v>69440000000</v>
      </c>
      <c r="J583" s="3" cm="1">
        <f t="array" ref="J583">_xlfn.XLOOKUP(D583,[3]Sheet1!$B$2:$B$78,_xlfn.XLOOKUP(E583,[3]Sheet1!$C$1:$AC$1,[3]Sheet1!$C$2:$AC$78))</f>
        <v>488</v>
      </c>
      <c r="K583" s="3">
        <f t="shared" si="27"/>
        <v>488000</v>
      </c>
      <c r="L583" s="3">
        <f t="shared" si="29"/>
        <v>142295.0819672131</v>
      </c>
      <c r="M583" s="10">
        <v>99.632089979095099</v>
      </c>
      <c r="N583" s="10">
        <v>11.9301003821649</v>
      </c>
    </row>
    <row r="584" spans="1:14" hidden="1" x14ac:dyDescent="0.3">
      <c r="A584" s="5">
        <v>42</v>
      </c>
      <c r="B584" s="5" t="str">
        <f>_xlfn.XLOOKUP(D584,'[1]Viirs77-Sol'!$C$2:$C$694,'[1]Viirs77-Sol'!$A$2:$A$694)</f>
        <v>TH-77</v>
      </c>
      <c r="C584" s="5" t="str">
        <f>_xlfn.XLOOKUP(D584,cleanprovinces!$B:$B,cleanprovinces!$A:$A)</f>
        <v>WE</v>
      </c>
      <c r="D584" s="5" t="s">
        <v>92</v>
      </c>
      <c r="E584" s="6">
        <v>2020</v>
      </c>
      <c r="F584" s="7" cm="1">
        <f t="array" ref="F584">_xlfn.XLOOKUP(D584&amp;E584,'[1]Viirs77-Sol'!$C$2:$C$694&amp;'[1]Viirs77-Sol'!$D$2:$D$694,'[1]Viirs77-Sol'!$E$2:$E$694)</f>
        <v>24388.939009999998</v>
      </c>
      <c r="G584" s="7" cm="1">
        <f t="array" ref="G584">_xlfn.XLOOKUP(B584&amp;E584,'[2]Viirs77-Mean'!$A$2:$A$694&amp;'[2]Viirs77-Mean'!$D$2:$D$694,'[2]Viirs77-Mean'!$E$2:$E$694)</f>
        <v>0.80315449500000002</v>
      </c>
      <c r="H584" s="9" cm="1">
        <f t="array" ref="H584">_xlfn.XLOOKUP(D584,cleanprovinces!$B$2:$B$78,_xlfn.XLOOKUP(panel!E584,cleanprovinces!$C$1:$AC$1,cleanprovinces!$C$2:$AC$78,"no",0,1))</f>
        <v>63441</v>
      </c>
      <c r="I584" s="4">
        <f t="shared" si="28"/>
        <v>63441000000</v>
      </c>
      <c r="J584" s="3" cm="1">
        <f t="array" ref="J584">_xlfn.XLOOKUP(D584,[3]Sheet1!$B$2:$B$78,_xlfn.XLOOKUP(E584,[3]Sheet1!$C$1:$AC$1,[3]Sheet1!$C$2:$AC$78))</f>
        <v>488</v>
      </c>
      <c r="K584" s="3">
        <f t="shared" si="27"/>
        <v>488000</v>
      </c>
      <c r="L584" s="3">
        <f t="shared" si="29"/>
        <v>130002.04918032787</v>
      </c>
      <c r="M584" s="10">
        <v>99.632089979095099</v>
      </c>
      <c r="N584" s="10">
        <v>11.9301003821649</v>
      </c>
    </row>
    <row r="585" spans="1:14" hidden="1" x14ac:dyDescent="0.3">
      <c r="A585" s="5">
        <v>42</v>
      </c>
      <c r="B585" s="5" t="str">
        <f>_xlfn.XLOOKUP(D585,'[1]Viirs77-Sol'!$C$2:$C$694,'[1]Viirs77-Sol'!$A$2:$A$694)</f>
        <v>TH-77</v>
      </c>
      <c r="C585" s="5" t="str">
        <f>_xlfn.XLOOKUP(D585,cleanprovinces!$B:$B,cleanprovinces!$A:$A)</f>
        <v>WE</v>
      </c>
      <c r="D585" s="5" t="s">
        <v>92</v>
      </c>
      <c r="E585" s="6">
        <v>2021</v>
      </c>
      <c r="F585" s="7" cm="1">
        <f t="array" ref="F585">_xlfn.XLOOKUP(D585&amp;E585,'[1]Viirs77-Sol'!$C$2:$C$694&amp;'[1]Viirs77-Sol'!$D$2:$D$694,'[1]Viirs77-Sol'!$E$2:$E$694)</f>
        <v>26246.665799999999</v>
      </c>
      <c r="G585" s="7" cm="1">
        <f t="array" ref="G585">_xlfn.XLOOKUP(B585&amp;E585,'[2]Viirs77-Mean'!$A$2:$A$694&amp;'[2]Viirs77-Mean'!$D$2:$D$694,'[2]Viirs77-Mean'!$E$2:$E$694)</f>
        <v>0.86433147499999996</v>
      </c>
      <c r="H585" s="9" cm="1">
        <f t="array" ref="H585">_xlfn.XLOOKUP(D585,cleanprovinces!$B$2:$B$78,_xlfn.XLOOKUP(panel!E585,cleanprovinces!$C$1:$AC$1,cleanprovinces!$C$2:$AC$78,"no",0,1))</f>
        <v>64648</v>
      </c>
      <c r="I585" s="4">
        <f t="shared" si="28"/>
        <v>64648000000</v>
      </c>
      <c r="J585" s="3" cm="1">
        <f t="array" ref="J585">_xlfn.XLOOKUP(D585,[3]Sheet1!$B$2:$B$78,_xlfn.XLOOKUP(E585,[3]Sheet1!$C$1:$AC$1,[3]Sheet1!$C$2:$AC$78))</f>
        <v>487</v>
      </c>
      <c r="K585" s="3">
        <f t="shared" si="27"/>
        <v>487000</v>
      </c>
      <c r="L585" s="3">
        <f t="shared" si="29"/>
        <v>132747.43326488708</v>
      </c>
      <c r="M585" s="10">
        <v>99.632089979095099</v>
      </c>
      <c r="N585" s="10">
        <v>11.9301003821649</v>
      </c>
    </row>
    <row r="586" spans="1:14" hidden="1" x14ac:dyDescent="0.3">
      <c r="A586" s="5">
        <v>8</v>
      </c>
      <c r="B586" s="5" t="str">
        <f>_xlfn.XLOOKUP(D586,'[1]Viirs77-Sol'!$C$2:$C$694,'[1]Viirs77-Sol'!$A$2:$A$694)</f>
        <v>TH-76</v>
      </c>
      <c r="C586" s="5" t="str">
        <f>_xlfn.XLOOKUP(D586,cleanprovinces!$B:$B,cleanprovinces!$A:$A)</f>
        <v>WE</v>
      </c>
      <c r="D586" s="5" t="s">
        <v>93</v>
      </c>
      <c r="E586" s="6">
        <v>2014</v>
      </c>
      <c r="F586" s="7" cm="1">
        <f t="array" ref="F586">_xlfn.XLOOKUP(D586&amp;E586,'[1]Viirs77-Sol'!$C$2:$C$694&amp;'[1]Viirs77-Sol'!$D$2:$D$694,'[1]Viirs77-Sol'!$E$2:$E$694)</f>
        <v>21974.52421</v>
      </c>
      <c r="G586" s="7" cm="1">
        <f t="array" ref="G586">_xlfn.XLOOKUP(B586&amp;E586,'[2]Viirs77-Mean'!$A$2:$A$694&amp;'[2]Viirs77-Mean'!$D$2:$D$694,'[2]Viirs77-Mean'!$E$2:$E$694)</f>
        <v>0.73627688000000002</v>
      </c>
      <c r="H586" s="9" cm="1">
        <f t="array" ref="H586">_xlfn.XLOOKUP(D586,cleanprovinces!$B$2:$B$78,_xlfn.XLOOKUP(panel!E586,cleanprovinces!$C$1:$AC$1,cleanprovinces!$C$2:$AC$78,"no",0,1))</f>
        <v>38429</v>
      </c>
      <c r="I586" s="4">
        <f t="shared" si="28"/>
        <v>38429000000</v>
      </c>
      <c r="J586" s="3" cm="1">
        <f t="array" ref="J586">_xlfn.XLOOKUP(D586,[3]Sheet1!$B$2:$B$78,_xlfn.XLOOKUP(E586,[3]Sheet1!$C$1:$AC$1,[3]Sheet1!$C$2:$AC$78))</f>
        <v>488</v>
      </c>
      <c r="K586" s="3">
        <f t="shared" si="27"/>
        <v>488000</v>
      </c>
      <c r="L586" s="3">
        <f t="shared" si="29"/>
        <v>78747.950819672129</v>
      </c>
      <c r="M586" s="10">
        <v>99.620750053215204</v>
      </c>
      <c r="N586" s="10">
        <v>12.938430099841399</v>
      </c>
    </row>
    <row r="587" spans="1:14" hidden="1" x14ac:dyDescent="0.3">
      <c r="A587" s="5">
        <v>8</v>
      </c>
      <c r="B587" s="5" t="str">
        <f>_xlfn.XLOOKUP(D587,'[1]Viirs77-Sol'!$C$2:$C$694,'[1]Viirs77-Sol'!$A$2:$A$694)</f>
        <v>TH-76</v>
      </c>
      <c r="C587" s="5" t="str">
        <f>_xlfn.XLOOKUP(D587,cleanprovinces!$B:$B,cleanprovinces!$A:$A)</f>
        <v>WE</v>
      </c>
      <c r="D587" s="5" t="s">
        <v>93</v>
      </c>
      <c r="E587" s="6">
        <v>2015</v>
      </c>
      <c r="F587" s="7" cm="1">
        <f t="array" ref="F587">_xlfn.XLOOKUP(D587&amp;E587,'[1]Viirs77-Sol'!$C$2:$C$694&amp;'[1]Viirs77-Sol'!$D$2:$D$694,'[1]Viirs77-Sol'!$E$2:$E$694)</f>
        <v>24961.278010000002</v>
      </c>
      <c r="G587" s="7" cm="1">
        <f t="array" ref="G587">_xlfn.XLOOKUP(B587&amp;E587,'[2]Viirs77-Mean'!$A$2:$A$694&amp;'[2]Viirs77-Mean'!$D$2:$D$694,'[2]Viirs77-Mean'!$E$2:$E$694)</f>
        <v>0.83635084599999998</v>
      </c>
      <c r="H587" s="9" cm="1">
        <f t="array" ref="H587">_xlfn.XLOOKUP(D587,cleanprovinces!$B$2:$B$78,_xlfn.XLOOKUP(panel!E587,cleanprovinces!$C$1:$AC$1,cleanprovinces!$C$2:$AC$78,"no",0,1))</f>
        <v>38596</v>
      </c>
      <c r="I587" s="4">
        <f t="shared" si="28"/>
        <v>38596000000</v>
      </c>
      <c r="J587" s="3" cm="1">
        <f t="array" ref="J587">_xlfn.XLOOKUP(D587,[3]Sheet1!$B$2:$B$78,_xlfn.XLOOKUP(E587,[3]Sheet1!$C$1:$AC$1,[3]Sheet1!$C$2:$AC$78))</f>
        <v>492</v>
      </c>
      <c r="K587" s="3">
        <f t="shared" si="27"/>
        <v>492000</v>
      </c>
      <c r="L587" s="3">
        <f t="shared" si="29"/>
        <v>78447.154471544709</v>
      </c>
      <c r="M587" s="10">
        <v>99.620750053215204</v>
      </c>
      <c r="N587" s="10">
        <v>12.938430099841399</v>
      </c>
    </row>
    <row r="588" spans="1:14" hidden="1" x14ac:dyDescent="0.3">
      <c r="A588" s="5">
        <v>8</v>
      </c>
      <c r="B588" s="5" t="str">
        <f>_xlfn.XLOOKUP(D588,'[1]Viirs77-Sol'!$C$2:$C$694,'[1]Viirs77-Sol'!$A$2:$A$694)</f>
        <v>TH-76</v>
      </c>
      <c r="C588" s="5" t="str">
        <f>_xlfn.XLOOKUP(D588,cleanprovinces!$B:$B,cleanprovinces!$A:$A)</f>
        <v>WE</v>
      </c>
      <c r="D588" s="5" t="s">
        <v>93</v>
      </c>
      <c r="E588" s="6">
        <v>2016</v>
      </c>
      <c r="F588" s="7" cm="1">
        <f t="array" ref="F588">_xlfn.XLOOKUP(D588&amp;E588,'[1]Viirs77-Sol'!$C$2:$C$694&amp;'[1]Viirs77-Sol'!$D$2:$D$694,'[1]Viirs77-Sol'!$E$2:$E$694)</f>
        <v>25842.270629999999</v>
      </c>
      <c r="G588" s="7" cm="1">
        <f t="array" ref="G588">_xlfn.XLOOKUP(B588&amp;E588,'[2]Viirs77-Mean'!$A$2:$A$694&amp;'[2]Viirs77-Mean'!$D$2:$D$694,'[2]Viirs77-Mean'!$E$2:$E$694)</f>
        <v>0.86586932299999997</v>
      </c>
      <c r="H588" s="9" cm="1">
        <f t="array" ref="H588">_xlfn.XLOOKUP(D588,cleanprovinces!$B$2:$B$78,_xlfn.XLOOKUP(panel!E588,cleanprovinces!$C$1:$AC$1,cleanprovinces!$C$2:$AC$78,"no",0,1))</f>
        <v>39218</v>
      </c>
      <c r="I588" s="4">
        <f t="shared" si="28"/>
        <v>39218000000</v>
      </c>
      <c r="J588" s="3" cm="1">
        <f t="array" ref="J588">_xlfn.XLOOKUP(D588,[3]Sheet1!$B$2:$B$78,_xlfn.XLOOKUP(E588,[3]Sheet1!$C$1:$AC$1,[3]Sheet1!$C$2:$AC$78))</f>
        <v>496</v>
      </c>
      <c r="K588" s="3">
        <f t="shared" si="27"/>
        <v>496000</v>
      </c>
      <c r="L588" s="3">
        <f t="shared" si="29"/>
        <v>79068.548387096773</v>
      </c>
      <c r="M588" s="10">
        <v>99.620750053215204</v>
      </c>
      <c r="N588" s="10">
        <v>12.938430099841399</v>
      </c>
    </row>
    <row r="589" spans="1:14" hidden="1" x14ac:dyDescent="0.3">
      <c r="A589" s="5">
        <v>8</v>
      </c>
      <c r="B589" s="5" t="str">
        <f>_xlfn.XLOOKUP(D589,'[1]Viirs77-Sol'!$C$2:$C$694,'[1]Viirs77-Sol'!$A$2:$A$694)</f>
        <v>TH-76</v>
      </c>
      <c r="C589" s="5" t="str">
        <f>_xlfn.XLOOKUP(D589,cleanprovinces!$B:$B,cleanprovinces!$A:$A)</f>
        <v>WE</v>
      </c>
      <c r="D589" s="5" t="s">
        <v>93</v>
      </c>
      <c r="E589" s="6">
        <v>2017</v>
      </c>
      <c r="F589" s="7" cm="1">
        <f t="array" ref="F589">_xlfn.XLOOKUP(D589&amp;E589,'[1]Viirs77-Sol'!$C$2:$C$694&amp;'[1]Viirs77-Sol'!$D$2:$D$694,'[1]Viirs77-Sol'!$E$2:$E$694)</f>
        <v>28301.443729999999</v>
      </c>
      <c r="G589" s="7" cm="1">
        <f t="array" ref="G589">_xlfn.XLOOKUP(B589&amp;E589,'[2]Viirs77-Mean'!$A$2:$A$694&amp;'[2]Viirs77-Mean'!$D$2:$D$694,'[2]Viirs77-Mean'!$E$2:$E$694)</f>
        <v>0.948266206</v>
      </c>
      <c r="H589" s="9" cm="1">
        <f t="array" ref="H589">_xlfn.XLOOKUP(D589,cleanprovinces!$B$2:$B$78,_xlfn.XLOOKUP(panel!E589,cleanprovinces!$C$1:$AC$1,cleanprovinces!$C$2:$AC$78,"no",0,1))</f>
        <v>42532</v>
      </c>
      <c r="I589" s="4">
        <f t="shared" si="28"/>
        <v>42532000000</v>
      </c>
      <c r="J589" s="3" cm="1">
        <f t="array" ref="J589">_xlfn.XLOOKUP(D589,[3]Sheet1!$B$2:$B$78,_xlfn.XLOOKUP(E589,[3]Sheet1!$C$1:$AC$1,[3]Sheet1!$C$2:$AC$78))</f>
        <v>498</v>
      </c>
      <c r="K589" s="3">
        <f t="shared" si="27"/>
        <v>498000</v>
      </c>
      <c r="L589" s="3">
        <f t="shared" si="29"/>
        <v>85405.622489959846</v>
      </c>
      <c r="M589" s="10">
        <v>99.620750053215204</v>
      </c>
      <c r="N589" s="10">
        <v>12.938430099841399</v>
      </c>
    </row>
    <row r="590" spans="1:14" hidden="1" x14ac:dyDescent="0.3">
      <c r="A590" s="5">
        <v>8</v>
      </c>
      <c r="B590" s="5" t="str">
        <f>_xlfn.XLOOKUP(D590,'[1]Viirs77-Sol'!$C$2:$C$694,'[1]Viirs77-Sol'!$A$2:$A$694)</f>
        <v>TH-76</v>
      </c>
      <c r="C590" s="5" t="str">
        <f>_xlfn.XLOOKUP(D590,cleanprovinces!$B:$B,cleanprovinces!$A:$A)</f>
        <v>WE</v>
      </c>
      <c r="D590" s="5" t="s">
        <v>93</v>
      </c>
      <c r="E590" s="6">
        <v>2018</v>
      </c>
      <c r="F590" s="7" cm="1">
        <f t="array" ref="F590">_xlfn.XLOOKUP(D590&amp;E590,'[1]Viirs77-Sol'!$C$2:$C$694&amp;'[1]Viirs77-Sol'!$D$2:$D$694,'[1]Viirs77-Sol'!$E$2:$E$694)</f>
        <v>29852.04969</v>
      </c>
      <c r="G590" s="7" cm="1">
        <f t="array" ref="G590">_xlfn.XLOOKUP(B590&amp;E590,'[2]Viirs77-Mean'!$A$2:$A$694&amp;'[2]Viirs77-Mean'!$D$2:$D$694,'[2]Viirs77-Mean'!$E$2:$E$694)</f>
        <v>1.000220702</v>
      </c>
      <c r="H590" s="9" cm="1">
        <f t="array" ref="H590">_xlfn.XLOOKUP(D590,cleanprovinces!$B$2:$B$78,_xlfn.XLOOKUP(panel!E590,cleanprovinces!$C$1:$AC$1,cleanprovinces!$C$2:$AC$78,"no",0,1))</f>
        <v>43344</v>
      </c>
      <c r="I590" s="4">
        <f t="shared" si="28"/>
        <v>43344000000</v>
      </c>
      <c r="J590" s="3" cm="1">
        <f t="array" ref="J590">_xlfn.XLOOKUP(D590,[3]Sheet1!$B$2:$B$78,_xlfn.XLOOKUP(E590,[3]Sheet1!$C$1:$AC$1,[3]Sheet1!$C$2:$AC$78))</f>
        <v>499</v>
      </c>
      <c r="K590" s="3">
        <f t="shared" si="27"/>
        <v>499000</v>
      </c>
      <c r="L590" s="3">
        <f t="shared" si="29"/>
        <v>86861.723446893782</v>
      </c>
      <c r="M590" s="10">
        <v>99.620750053215204</v>
      </c>
      <c r="N590" s="10">
        <v>12.938430099841399</v>
      </c>
    </row>
    <row r="591" spans="1:14" hidden="1" x14ac:dyDescent="0.3">
      <c r="A591" s="5">
        <v>8</v>
      </c>
      <c r="B591" s="5" t="str">
        <f>_xlfn.XLOOKUP(D591,'[1]Viirs77-Sol'!$C$2:$C$694,'[1]Viirs77-Sol'!$A$2:$A$694)</f>
        <v>TH-76</v>
      </c>
      <c r="C591" s="5" t="str">
        <f>_xlfn.XLOOKUP(D591,cleanprovinces!$B:$B,cleanprovinces!$A:$A)</f>
        <v>WE</v>
      </c>
      <c r="D591" s="5" t="s">
        <v>93</v>
      </c>
      <c r="E591" s="6">
        <v>2019</v>
      </c>
      <c r="F591" s="7" cm="1">
        <f t="array" ref="F591">_xlfn.XLOOKUP(D591&amp;E591,'[1]Viirs77-Sol'!$C$2:$C$694&amp;'[1]Viirs77-Sol'!$D$2:$D$694,'[1]Viirs77-Sol'!$E$2:$E$694)</f>
        <v>30885.62357</v>
      </c>
      <c r="G591" s="7" cm="1">
        <f t="array" ref="G591">_xlfn.XLOOKUP(B591&amp;E591,'[2]Viirs77-Mean'!$A$2:$A$694&amp;'[2]Viirs77-Mean'!$D$2:$D$694,'[2]Viirs77-Mean'!$E$2:$E$694)</f>
        <v>1.034851556</v>
      </c>
      <c r="H591" s="9" cm="1">
        <f t="array" ref="H591">_xlfn.XLOOKUP(D591,cleanprovinces!$B$2:$B$78,_xlfn.XLOOKUP(panel!E591,cleanprovinces!$C$1:$AC$1,cleanprovinces!$C$2:$AC$78,"no",0,1))</f>
        <v>45410</v>
      </c>
      <c r="I591" s="4">
        <f t="shared" si="28"/>
        <v>45410000000</v>
      </c>
      <c r="J591" s="3" cm="1">
        <f t="array" ref="J591">_xlfn.XLOOKUP(D591,[3]Sheet1!$B$2:$B$78,_xlfn.XLOOKUP(E591,[3]Sheet1!$C$1:$AC$1,[3]Sheet1!$C$2:$AC$78))</f>
        <v>500</v>
      </c>
      <c r="K591" s="3">
        <f t="shared" si="27"/>
        <v>500000</v>
      </c>
      <c r="L591" s="3">
        <f t="shared" si="29"/>
        <v>90820</v>
      </c>
      <c r="M591" s="10">
        <v>99.620750053215204</v>
      </c>
      <c r="N591" s="10">
        <v>12.938430099841399</v>
      </c>
    </row>
    <row r="592" spans="1:14" hidden="1" x14ac:dyDescent="0.3">
      <c r="A592" s="5">
        <v>8</v>
      </c>
      <c r="B592" s="5" t="str">
        <f>_xlfn.XLOOKUP(D592,'[1]Viirs77-Sol'!$C$2:$C$694,'[1]Viirs77-Sol'!$A$2:$A$694)</f>
        <v>TH-76</v>
      </c>
      <c r="C592" s="5" t="str">
        <f>_xlfn.XLOOKUP(D592,cleanprovinces!$B:$B,cleanprovinces!$A:$A)</f>
        <v>WE</v>
      </c>
      <c r="D592" s="5" t="s">
        <v>93</v>
      </c>
      <c r="E592" s="6">
        <v>2020</v>
      </c>
      <c r="F592" s="7" cm="1">
        <f t="array" ref="F592">_xlfn.XLOOKUP(D592&amp;E592,'[1]Viirs77-Sol'!$C$2:$C$694&amp;'[1]Viirs77-Sol'!$D$2:$D$694,'[1]Viirs77-Sol'!$E$2:$E$694)</f>
        <v>32368.100989999999</v>
      </c>
      <c r="G592" s="7" cm="1">
        <f t="array" ref="G592">_xlfn.XLOOKUP(B592&amp;E592,'[2]Viirs77-Mean'!$A$2:$A$694&amp;'[2]Viirs77-Mean'!$D$2:$D$694,'[2]Viirs77-Mean'!$E$2:$E$694)</f>
        <v>1.084523342</v>
      </c>
      <c r="H592" s="9" cm="1">
        <f t="array" ref="H592">_xlfn.XLOOKUP(D592,cleanprovinces!$B$2:$B$78,_xlfn.XLOOKUP(panel!E592,cleanprovinces!$C$1:$AC$1,cleanprovinces!$C$2:$AC$78,"no",0,1))</f>
        <v>42980</v>
      </c>
      <c r="I592" s="4">
        <f t="shared" si="28"/>
        <v>42980000000</v>
      </c>
      <c r="J592" s="3" cm="1">
        <f t="array" ref="J592">_xlfn.XLOOKUP(D592,[3]Sheet1!$B$2:$B$78,_xlfn.XLOOKUP(E592,[3]Sheet1!$C$1:$AC$1,[3]Sheet1!$C$2:$AC$78))</f>
        <v>501</v>
      </c>
      <c r="K592" s="3">
        <f t="shared" si="27"/>
        <v>501000</v>
      </c>
      <c r="L592" s="3">
        <f t="shared" si="29"/>
        <v>85788.423153692609</v>
      </c>
      <c r="M592" s="10">
        <v>99.620750053215204</v>
      </c>
      <c r="N592" s="10">
        <v>12.938430099841399</v>
      </c>
    </row>
    <row r="593" spans="1:14" hidden="1" x14ac:dyDescent="0.3">
      <c r="A593" s="5">
        <v>8</v>
      </c>
      <c r="B593" s="5" t="str">
        <f>_xlfn.XLOOKUP(D593,'[1]Viirs77-Sol'!$C$2:$C$694,'[1]Viirs77-Sol'!$A$2:$A$694)</f>
        <v>TH-76</v>
      </c>
      <c r="C593" s="5" t="str">
        <f>_xlfn.XLOOKUP(D593,cleanprovinces!$B:$B,cleanprovinces!$A:$A)</f>
        <v>WE</v>
      </c>
      <c r="D593" s="5" t="s">
        <v>93</v>
      </c>
      <c r="E593" s="6">
        <v>2021</v>
      </c>
      <c r="F593" s="7" cm="1">
        <f t="array" ref="F593">_xlfn.XLOOKUP(D593&amp;E593,'[1]Viirs77-Sol'!$C$2:$C$694&amp;'[1]Viirs77-Sol'!$D$2:$D$694,'[1]Viirs77-Sol'!$E$2:$E$694)</f>
        <v>33813.502829999998</v>
      </c>
      <c r="G593" s="7" cm="1">
        <f t="array" ref="G593">_xlfn.XLOOKUP(B593&amp;E593,'[2]Viirs77-Mean'!$A$2:$A$694&amp;'[2]Viirs77-Mean'!$D$2:$D$694,'[2]Viirs77-Mean'!$E$2:$E$694)</f>
        <v>1.132952875</v>
      </c>
      <c r="H593" s="9" cm="1">
        <f t="array" ref="H593">_xlfn.XLOOKUP(D593,cleanprovinces!$B$2:$B$78,_xlfn.XLOOKUP(panel!E593,cleanprovinces!$C$1:$AC$1,cleanprovinces!$C$2:$AC$78,"no",0,1))</f>
        <v>43536</v>
      </c>
      <c r="I593" s="4">
        <f t="shared" si="28"/>
        <v>43536000000</v>
      </c>
      <c r="J593" s="3" cm="1">
        <f t="array" ref="J593">_xlfn.XLOOKUP(D593,[3]Sheet1!$B$2:$B$78,_xlfn.XLOOKUP(E593,[3]Sheet1!$C$1:$AC$1,[3]Sheet1!$C$2:$AC$78))</f>
        <v>502</v>
      </c>
      <c r="K593" s="3">
        <f t="shared" si="27"/>
        <v>502000</v>
      </c>
      <c r="L593" s="3">
        <f t="shared" si="29"/>
        <v>86725.099601593625</v>
      </c>
      <c r="M593" s="10">
        <v>99.620750053215204</v>
      </c>
      <c r="N593" s="10">
        <v>12.938430099841399</v>
      </c>
    </row>
    <row r="594" spans="1:14" hidden="1" x14ac:dyDescent="0.3">
      <c r="A594" s="5">
        <v>30</v>
      </c>
      <c r="B594" s="5" t="str">
        <f>_xlfn.XLOOKUP(D594,'[1]Viirs77-Sol'!$C$2:$C$694,'[1]Viirs77-Sol'!$A$2:$A$694)</f>
        <v>TH-70</v>
      </c>
      <c r="C594" s="5" t="str">
        <f>_xlfn.XLOOKUP(D594,cleanprovinces!$B:$B,cleanprovinces!$A:$A)</f>
        <v>WE</v>
      </c>
      <c r="D594" s="5" t="s">
        <v>90</v>
      </c>
      <c r="E594" s="6">
        <v>2014</v>
      </c>
      <c r="F594" s="7" cm="1">
        <f t="array" ref="F594">_xlfn.XLOOKUP(D594&amp;E594,'[1]Viirs77-Sol'!$C$2:$C$694&amp;'[1]Viirs77-Sol'!$D$2:$D$694,'[1]Viirs77-Sol'!$E$2:$E$694)</f>
        <v>26232.592240000002</v>
      </c>
      <c r="G594" s="7" cm="1">
        <f t="array" ref="G594">_xlfn.XLOOKUP(B594&amp;E594,'[2]Viirs77-Mean'!$A$2:$A$694&amp;'[2]Viirs77-Mean'!$D$2:$D$694,'[2]Viirs77-Mean'!$E$2:$E$694)</f>
        <v>1.0311806290000001</v>
      </c>
      <c r="H594" s="9" cm="1">
        <f t="array" ref="H594">_xlfn.XLOOKUP(D594,cleanprovinces!$B$2:$B$78,_xlfn.XLOOKUP(panel!E594,cleanprovinces!$C$1:$AC$1,cleanprovinces!$C$2:$AC$78,"no",0,1))</f>
        <v>99889</v>
      </c>
      <c r="I594" s="4">
        <f t="shared" si="28"/>
        <v>99889000000</v>
      </c>
      <c r="J594" s="3" cm="1">
        <f t="array" ref="J594">_xlfn.XLOOKUP(D594,[3]Sheet1!$B$2:$B$78,_xlfn.XLOOKUP(E594,[3]Sheet1!$C$1:$AC$1,[3]Sheet1!$C$2:$AC$78))</f>
        <v>805</v>
      </c>
      <c r="K594" s="3">
        <f t="shared" si="27"/>
        <v>805000</v>
      </c>
      <c r="L594" s="3">
        <f t="shared" si="29"/>
        <v>124085.71428571429</v>
      </c>
      <c r="M594" s="10">
        <v>99.581543180739104</v>
      </c>
      <c r="N594" s="10">
        <v>13.5326744225239</v>
      </c>
    </row>
    <row r="595" spans="1:14" hidden="1" x14ac:dyDescent="0.3">
      <c r="A595" s="5">
        <v>30</v>
      </c>
      <c r="B595" s="5" t="str">
        <f>_xlfn.XLOOKUP(D595,'[1]Viirs77-Sol'!$C$2:$C$694,'[1]Viirs77-Sol'!$A$2:$A$694)</f>
        <v>TH-70</v>
      </c>
      <c r="C595" s="5" t="str">
        <f>_xlfn.XLOOKUP(D595,cleanprovinces!$B:$B,cleanprovinces!$A:$A)</f>
        <v>WE</v>
      </c>
      <c r="D595" s="5" t="s">
        <v>90</v>
      </c>
      <c r="E595" s="6">
        <v>2015</v>
      </c>
      <c r="F595" s="7" cm="1">
        <f t="array" ref="F595">_xlfn.XLOOKUP(D595&amp;E595,'[1]Viirs77-Sol'!$C$2:$C$694&amp;'[1]Viirs77-Sol'!$D$2:$D$694,'[1]Viirs77-Sol'!$E$2:$E$694)</f>
        <v>28074.533909999998</v>
      </c>
      <c r="G595" s="7" cm="1">
        <f t="array" ref="G595">_xlfn.XLOOKUP(B595&amp;E595,'[2]Viirs77-Mean'!$A$2:$A$694&amp;'[2]Viirs77-Mean'!$D$2:$D$694,'[2]Viirs77-Mean'!$E$2:$E$694)</f>
        <v>1.103585772</v>
      </c>
      <c r="H595" s="9" cm="1">
        <f t="array" ref="H595">_xlfn.XLOOKUP(D595,cleanprovinces!$B$2:$B$78,_xlfn.XLOOKUP(panel!E595,cleanprovinces!$C$1:$AC$1,cleanprovinces!$C$2:$AC$78,"no",0,1))</f>
        <v>103406</v>
      </c>
      <c r="I595" s="4">
        <f t="shared" si="28"/>
        <v>103406000000</v>
      </c>
      <c r="J595" s="3" cm="1">
        <f t="array" ref="J595">_xlfn.XLOOKUP(D595,[3]Sheet1!$B$2:$B$78,_xlfn.XLOOKUP(E595,[3]Sheet1!$C$1:$AC$1,[3]Sheet1!$C$2:$AC$78))</f>
        <v>807</v>
      </c>
      <c r="K595" s="3">
        <f t="shared" si="27"/>
        <v>807000</v>
      </c>
      <c r="L595" s="3">
        <f t="shared" si="29"/>
        <v>128136.3073110285</v>
      </c>
      <c r="M595" s="10">
        <v>99.581543180739104</v>
      </c>
      <c r="N595" s="10">
        <v>13.5326744225239</v>
      </c>
    </row>
    <row r="596" spans="1:14" hidden="1" x14ac:dyDescent="0.3">
      <c r="A596" s="5">
        <v>30</v>
      </c>
      <c r="B596" s="5" t="str">
        <f>_xlfn.XLOOKUP(D596,'[1]Viirs77-Sol'!$C$2:$C$694,'[1]Viirs77-Sol'!$A$2:$A$694)</f>
        <v>TH-70</v>
      </c>
      <c r="C596" s="5" t="str">
        <f>_xlfn.XLOOKUP(D596,cleanprovinces!$B:$B,cleanprovinces!$A:$A)</f>
        <v>WE</v>
      </c>
      <c r="D596" s="5" t="s">
        <v>90</v>
      </c>
      <c r="E596" s="6">
        <v>2016</v>
      </c>
      <c r="F596" s="7" cm="1">
        <f t="array" ref="F596">_xlfn.XLOOKUP(D596&amp;E596,'[1]Viirs77-Sol'!$C$2:$C$694&amp;'[1]Viirs77-Sol'!$D$2:$D$694,'[1]Viirs77-Sol'!$E$2:$E$694)</f>
        <v>28740.411909999999</v>
      </c>
      <c r="G596" s="7" cm="1">
        <f t="array" ref="G596">_xlfn.XLOOKUP(B596&amp;E596,'[2]Viirs77-Mean'!$A$2:$A$694&amp;'[2]Viirs77-Mean'!$D$2:$D$694,'[2]Viirs77-Mean'!$E$2:$E$694)</f>
        <v>1.129760863</v>
      </c>
      <c r="H596" s="9" cm="1">
        <f t="array" ref="H596">_xlfn.XLOOKUP(D596,cleanprovinces!$B$2:$B$78,_xlfn.XLOOKUP(panel!E596,cleanprovinces!$C$1:$AC$1,cleanprovinces!$C$2:$AC$78,"no",0,1))</f>
        <v>104317</v>
      </c>
      <c r="I596" s="4">
        <f t="shared" si="28"/>
        <v>104317000000</v>
      </c>
      <c r="J596" s="3" cm="1">
        <f t="array" ref="J596">_xlfn.XLOOKUP(D596,[3]Sheet1!$B$2:$B$78,_xlfn.XLOOKUP(E596,[3]Sheet1!$C$1:$AC$1,[3]Sheet1!$C$2:$AC$78))</f>
        <v>809</v>
      </c>
      <c r="K596" s="3">
        <f t="shared" si="27"/>
        <v>809000</v>
      </c>
      <c r="L596" s="3">
        <f t="shared" si="29"/>
        <v>128945.61186650186</v>
      </c>
      <c r="M596" s="10">
        <v>99.581543180739104</v>
      </c>
      <c r="N596" s="10">
        <v>13.5326744225239</v>
      </c>
    </row>
    <row r="597" spans="1:14" hidden="1" x14ac:dyDescent="0.3">
      <c r="A597" s="5">
        <v>30</v>
      </c>
      <c r="B597" s="5" t="str">
        <f>_xlfn.XLOOKUP(D597,'[1]Viirs77-Sol'!$C$2:$C$694,'[1]Viirs77-Sol'!$A$2:$A$694)</f>
        <v>TH-70</v>
      </c>
      <c r="C597" s="5" t="str">
        <f>_xlfn.XLOOKUP(D597,cleanprovinces!$B:$B,cleanprovinces!$A:$A)</f>
        <v>WE</v>
      </c>
      <c r="D597" s="5" t="s">
        <v>90</v>
      </c>
      <c r="E597" s="6">
        <v>2017</v>
      </c>
      <c r="F597" s="7" cm="1">
        <f t="array" ref="F597">_xlfn.XLOOKUP(D597&amp;E597,'[1]Viirs77-Sol'!$C$2:$C$694&amp;'[1]Viirs77-Sol'!$D$2:$D$694,'[1]Viirs77-Sol'!$E$2:$E$694)</f>
        <v>31785.954720000002</v>
      </c>
      <c r="G597" s="7" cm="1">
        <f t="array" ref="G597">_xlfn.XLOOKUP(B597&amp;E597,'[2]Viirs77-Mean'!$A$2:$A$694&amp;'[2]Viirs77-Mean'!$D$2:$D$694,'[2]Viirs77-Mean'!$E$2:$E$694)</f>
        <v>1.24947853</v>
      </c>
      <c r="H597" s="9" cm="1">
        <f t="array" ref="H597">_xlfn.XLOOKUP(D597,cleanprovinces!$B$2:$B$78,_xlfn.XLOOKUP(panel!E597,cleanprovinces!$C$1:$AC$1,cleanprovinces!$C$2:$AC$78,"no",0,1))</f>
        <v>104553</v>
      </c>
      <c r="I597" s="4">
        <f t="shared" si="28"/>
        <v>104553000000</v>
      </c>
      <c r="J597" s="3" cm="1">
        <f t="array" ref="J597">_xlfn.XLOOKUP(D597,[3]Sheet1!$B$2:$B$78,_xlfn.XLOOKUP(E597,[3]Sheet1!$C$1:$AC$1,[3]Sheet1!$C$2:$AC$78))</f>
        <v>811</v>
      </c>
      <c r="K597" s="3">
        <f t="shared" si="27"/>
        <v>811000</v>
      </c>
      <c r="L597" s="3">
        <f t="shared" si="29"/>
        <v>128918.61898890258</v>
      </c>
      <c r="M597" s="10">
        <v>99.581543180739104</v>
      </c>
      <c r="N597" s="10">
        <v>13.5326744225239</v>
      </c>
    </row>
    <row r="598" spans="1:14" hidden="1" x14ac:dyDescent="0.3">
      <c r="A598" s="5">
        <v>30</v>
      </c>
      <c r="B598" s="5" t="str">
        <f>_xlfn.XLOOKUP(D598,'[1]Viirs77-Sol'!$C$2:$C$694,'[1]Viirs77-Sol'!$A$2:$A$694)</f>
        <v>TH-70</v>
      </c>
      <c r="C598" s="5" t="str">
        <f>_xlfn.XLOOKUP(D598,cleanprovinces!$B:$B,cleanprovinces!$A:$A)</f>
        <v>WE</v>
      </c>
      <c r="D598" s="5" t="s">
        <v>90</v>
      </c>
      <c r="E598" s="6">
        <v>2018</v>
      </c>
      <c r="F598" s="7" cm="1">
        <f t="array" ref="F598">_xlfn.XLOOKUP(D598&amp;E598,'[1]Viirs77-Sol'!$C$2:$C$694&amp;'[1]Viirs77-Sol'!$D$2:$D$694,'[1]Viirs77-Sol'!$E$2:$E$694)</f>
        <v>33360.827570000001</v>
      </c>
      <c r="G598" s="7" cm="1">
        <f t="array" ref="G598">_xlfn.XLOOKUP(B598&amp;E598,'[2]Viirs77-Mean'!$A$2:$A$694&amp;'[2]Viirs77-Mean'!$D$2:$D$694,'[2]Viirs77-Mean'!$E$2:$E$694)</f>
        <v>1.311385427</v>
      </c>
      <c r="H598" s="9" cm="1">
        <f t="array" ref="H598">_xlfn.XLOOKUP(D598,cleanprovinces!$B$2:$B$78,_xlfn.XLOOKUP(panel!E598,cleanprovinces!$C$1:$AC$1,cleanprovinces!$C$2:$AC$78,"no",0,1))</f>
        <v>105298</v>
      </c>
      <c r="I598" s="4">
        <f t="shared" si="28"/>
        <v>105298000000</v>
      </c>
      <c r="J598" s="3" cm="1">
        <f t="array" ref="J598">_xlfn.XLOOKUP(D598,[3]Sheet1!$B$2:$B$78,_xlfn.XLOOKUP(E598,[3]Sheet1!$C$1:$AC$1,[3]Sheet1!$C$2:$AC$78))</f>
        <v>813</v>
      </c>
      <c r="K598" s="3">
        <f t="shared" si="27"/>
        <v>813000</v>
      </c>
      <c r="L598" s="3">
        <f t="shared" si="29"/>
        <v>129517.83517835179</v>
      </c>
      <c r="M598" s="10">
        <v>99.581543180739104</v>
      </c>
      <c r="N598" s="10">
        <v>13.5326744225239</v>
      </c>
    </row>
    <row r="599" spans="1:14" hidden="1" x14ac:dyDescent="0.3">
      <c r="A599" s="5">
        <v>30</v>
      </c>
      <c r="B599" s="5" t="str">
        <f>_xlfn.XLOOKUP(D599,'[1]Viirs77-Sol'!$C$2:$C$694,'[1]Viirs77-Sol'!$A$2:$A$694)</f>
        <v>TH-70</v>
      </c>
      <c r="C599" s="5" t="str">
        <f>_xlfn.XLOOKUP(D599,cleanprovinces!$B:$B,cleanprovinces!$A:$A)</f>
        <v>WE</v>
      </c>
      <c r="D599" s="5" t="s">
        <v>90</v>
      </c>
      <c r="E599" s="6">
        <v>2019</v>
      </c>
      <c r="F599" s="7" cm="1">
        <f t="array" ref="F599">_xlfn.XLOOKUP(D599&amp;E599,'[1]Viirs77-Sol'!$C$2:$C$694&amp;'[1]Viirs77-Sol'!$D$2:$D$694,'[1]Viirs77-Sol'!$E$2:$E$694)</f>
        <v>34859.208209999997</v>
      </c>
      <c r="G599" s="7" cm="1">
        <f t="array" ref="G599">_xlfn.XLOOKUP(B599&amp;E599,'[2]Viirs77-Mean'!$A$2:$A$694&amp;'[2]Viirs77-Mean'!$D$2:$D$694,'[2]Viirs77-Mean'!$E$2:$E$694)</f>
        <v>1.3702854799999999</v>
      </c>
      <c r="H599" s="9" cm="1">
        <f t="array" ref="H599">_xlfn.XLOOKUP(D599,cleanprovinces!$B$2:$B$78,_xlfn.XLOOKUP(panel!E599,cleanprovinces!$C$1:$AC$1,cleanprovinces!$C$2:$AC$78,"no",0,1))</f>
        <v>102672</v>
      </c>
      <c r="I599" s="4">
        <f t="shared" si="28"/>
        <v>102672000000</v>
      </c>
      <c r="J599" s="3" cm="1">
        <f t="array" ref="J599">_xlfn.XLOOKUP(D599,[3]Sheet1!$B$2:$B$78,_xlfn.XLOOKUP(E599,[3]Sheet1!$C$1:$AC$1,[3]Sheet1!$C$2:$AC$78))</f>
        <v>813</v>
      </c>
      <c r="K599" s="3">
        <f t="shared" si="27"/>
        <v>813000</v>
      </c>
      <c r="L599" s="3">
        <f t="shared" si="29"/>
        <v>126287.82287822878</v>
      </c>
      <c r="M599" s="10">
        <v>99.581543180739104</v>
      </c>
      <c r="N599" s="10">
        <v>13.5326744225239</v>
      </c>
    </row>
    <row r="600" spans="1:14" hidden="1" x14ac:dyDescent="0.3">
      <c r="A600" s="5">
        <v>30</v>
      </c>
      <c r="B600" s="5" t="str">
        <f>_xlfn.XLOOKUP(D600,'[1]Viirs77-Sol'!$C$2:$C$694,'[1]Viirs77-Sol'!$A$2:$A$694)</f>
        <v>TH-70</v>
      </c>
      <c r="C600" s="5" t="str">
        <f>_xlfn.XLOOKUP(D600,cleanprovinces!$B:$B,cleanprovinces!$A:$A)</f>
        <v>WE</v>
      </c>
      <c r="D600" s="5" t="s">
        <v>90</v>
      </c>
      <c r="E600" s="6">
        <v>2020</v>
      </c>
      <c r="F600" s="7" cm="1">
        <f t="array" ref="F600">_xlfn.XLOOKUP(D600&amp;E600,'[1]Viirs77-Sol'!$C$2:$C$694&amp;'[1]Viirs77-Sol'!$D$2:$D$694,'[1]Viirs77-Sol'!$E$2:$E$694)</f>
        <v>36927.840510000002</v>
      </c>
      <c r="G600" s="7" cm="1">
        <f t="array" ref="G600">_xlfn.XLOOKUP(B600&amp;E600,'[2]Viirs77-Mean'!$A$2:$A$694&amp;'[2]Viirs77-Mean'!$D$2:$D$694,'[2]Viirs77-Mean'!$E$2:$E$694)</f>
        <v>1.4516016359999999</v>
      </c>
      <c r="H600" s="9" cm="1">
        <f t="array" ref="H600">_xlfn.XLOOKUP(D600,cleanprovinces!$B$2:$B$78,_xlfn.XLOOKUP(panel!E600,cleanprovinces!$C$1:$AC$1,cleanprovinces!$C$2:$AC$78,"no",0,1))</f>
        <v>96166</v>
      </c>
      <c r="I600" s="4">
        <f t="shared" si="28"/>
        <v>96166000000</v>
      </c>
      <c r="J600" s="3" cm="1">
        <f t="array" ref="J600">_xlfn.XLOOKUP(D600,[3]Sheet1!$B$2:$B$78,_xlfn.XLOOKUP(E600,[3]Sheet1!$C$1:$AC$1,[3]Sheet1!$C$2:$AC$78))</f>
        <v>812</v>
      </c>
      <c r="K600" s="3">
        <f t="shared" si="27"/>
        <v>812000</v>
      </c>
      <c r="L600" s="3">
        <f t="shared" si="29"/>
        <v>118431.03448275862</v>
      </c>
      <c r="M600" s="10">
        <v>99.581543180739104</v>
      </c>
      <c r="N600" s="10">
        <v>13.5326744225239</v>
      </c>
    </row>
    <row r="601" spans="1:14" hidden="1" x14ac:dyDescent="0.3">
      <c r="A601" s="5">
        <v>30</v>
      </c>
      <c r="B601" s="5" t="str">
        <f>_xlfn.XLOOKUP(D601,'[1]Viirs77-Sol'!$C$2:$C$694,'[1]Viirs77-Sol'!$A$2:$A$694)</f>
        <v>TH-70</v>
      </c>
      <c r="C601" s="5" t="str">
        <f>_xlfn.XLOOKUP(D601,cleanprovinces!$B:$B,cleanprovinces!$A:$A)</f>
        <v>WE</v>
      </c>
      <c r="D601" s="5" t="s">
        <v>90</v>
      </c>
      <c r="E601" s="6">
        <v>2021</v>
      </c>
      <c r="F601" s="7" cm="1">
        <f t="array" ref="F601">_xlfn.XLOOKUP(D601&amp;E601,'[1]Viirs77-Sol'!$C$2:$C$694&amp;'[1]Viirs77-Sol'!$D$2:$D$694,'[1]Viirs77-Sol'!$E$2:$E$694)</f>
        <v>41469.715479999999</v>
      </c>
      <c r="G601" s="7" cm="1">
        <f t="array" ref="G601">_xlfn.XLOOKUP(B601&amp;E601,'[2]Viirs77-Mean'!$A$2:$A$694&amp;'[2]Viirs77-Mean'!$D$2:$D$694,'[2]Viirs77-Mean'!$E$2:$E$694)</f>
        <v>1.630138834</v>
      </c>
      <c r="H601" s="9" cm="1">
        <f t="array" ref="H601">_xlfn.XLOOKUP(D601,cleanprovinces!$B$2:$B$78,_xlfn.XLOOKUP(panel!E601,cleanprovinces!$C$1:$AC$1,cleanprovinces!$C$2:$AC$78,"no",0,1))</f>
        <v>97458</v>
      </c>
      <c r="I601" s="4">
        <f t="shared" si="28"/>
        <v>97458000000</v>
      </c>
      <c r="J601" s="3" cm="1">
        <f t="array" ref="J601">_xlfn.XLOOKUP(D601,[3]Sheet1!$B$2:$B$78,_xlfn.XLOOKUP(E601,[3]Sheet1!$C$1:$AC$1,[3]Sheet1!$C$2:$AC$78))</f>
        <v>811</v>
      </c>
      <c r="K601" s="3">
        <f t="shared" si="27"/>
        <v>811000</v>
      </c>
      <c r="L601" s="3">
        <f t="shared" si="29"/>
        <v>120170.16029593095</v>
      </c>
      <c r="M601" s="10">
        <v>99.581543180739104</v>
      </c>
      <c r="N601" s="10">
        <v>13.5326744225239</v>
      </c>
    </row>
    <row r="602" spans="1:14" hidden="1" x14ac:dyDescent="0.3">
      <c r="A602" s="5">
        <v>50</v>
      </c>
      <c r="B602" s="5" t="str">
        <f>_xlfn.XLOOKUP(D602,'[1]Viirs77-Sol'!$C$2:$C$694,'[1]Viirs77-Sol'!$A$2:$A$694)</f>
        <v>TH-75</v>
      </c>
      <c r="C602" s="5" t="str">
        <f>_xlfn.XLOOKUP(D602,cleanprovinces!$B:$B,cleanprovinces!$A:$A)</f>
        <v>WE</v>
      </c>
      <c r="D602" s="5" t="s">
        <v>95</v>
      </c>
      <c r="E602" s="6">
        <v>2014</v>
      </c>
      <c r="F602" s="7" cm="1">
        <f t="array" ref="F602">_xlfn.XLOOKUP(D602&amp;E602,'[1]Viirs77-Sol'!$C$2:$C$694&amp;'[1]Viirs77-Sol'!$D$2:$D$694,'[1]Viirs77-Sol'!$E$2:$E$694)</f>
        <v>4846.4362170000004</v>
      </c>
      <c r="G602" s="7" cm="1">
        <f t="array" ref="G602">_xlfn.XLOOKUP(B602&amp;E602,'[2]Viirs77-Mean'!$A$2:$A$694&amp;'[2]Viirs77-Mean'!$D$2:$D$694,'[2]Viirs77-Mean'!$E$2:$E$694)</f>
        <v>2.4833242950000001</v>
      </c>
      <c r="H602" s="9" cm="1">
        <f t="array" ref="H602">_xlfn.XLOOKUP(D602,cleanprovinces!$B$2:$B$78,_xlfn.XLOOKUP(panel!E602,cleanprovinces!$C$1:$AC$1,cleanprovinces!$C$2:$AC$78,"no",0,1))</f>
        <v>12305</v>
      </c>
      <c r="I602" s="4">
        <f t="shared" si="28"/>
        <v>12305000000</v>
      </c>
      <c r="J602" s="3" cm="1">
        <f t="array" ref="J602">_xlfn.XLOOKUP(D602,[3]Sheet1!$B$2:$B$78,_xlfn.XLOOKUP(E602,[3]Sheet1!$C$1:$AC$1,[3]Sheet1!$C$2:$AC$78))</f>
        <v>185</v>
      </c>
      <c r="K602" s="3">
        <f t="shared" si="27"/>
        <v>185000</v>
      </c>
      <c r="L602" s="3">
        <f t="shared" si="29"/>
        <v>66513.513513513521</v>
      </c>
      <c r="M602" s="10">
        <v>99.956716987364004</v>
      </c>
      <c r="N602" s="10">
        <v>13.394176237199</v>
      </c>
    </row>
    <row r="603" spans="1:14" hidden="1" x14ac:dyDescent="0.3">
      <c r="A603" s="5">
        <v>50</v>
      </c>
      <c r="B603" s="5" t="str">
        <f>_xlfn.XLOOKUP(D603,'[1]Viirs77-Sol'!$C$2:$C$694,'[1]Viirs77-Sol'!$A$2:$A$694)</f>
        <v>TH-75</v>
      </c>
      <c r="C603" s="5" t="str">
        <f>_xlfn.XLOOKUP(D603,cleanprovinces!$B:$B,cleanprovinces!$A:$A)</f>
        <v>WE</v>
      </c>
      <c r="D603" s="5" t="s">
        <v>95</v>
      </c>
      <c r="E603" s="6">
        <v>2015</v>
      </c>
      <c r="F603" s="7" cm="1">
        <f t="array" ref="F603">_xlfn.XLOOKUP(D603&amp;E603,'[1]Viirs77-Sol'!$C$2:$C$694&amp;'[1]Viirs77-Sol'!$D$2:$D$694,'[1]Viirs77-Sol'!$E$2:$E$694)</f>
        <v>5304.0576870000004</v>
      </c>
      <c r="G603" s="7" cm="1">
        <f t="array" ref="G603">_xlfn.XLOOKUP(B603&amp;E603,'[2]Viirs77-Mean'!$A$2:$A$694&amp;'[2]Viirs77-Mean'!$D$2:$D$694,'[2]Viirs77-Mean'!$E$2:$E$694)</f>
        <v>2.7178105160000001</v>
      </c>
      <c r="H603" s="9" cm="1">
        <f t="array" ref="H603">_xlfn.XLOOKUP(D603,cleanprovinces!$B$2:$B$78,_xlfn.XLOOKUP(panel!E603,cleanprovinces!$C$1:$AC$1,cleanprovinces!$C$2:$AC$78,"no",0,1))</f>
        <v>12535</v>
      </c>
      <c r="I603" s="4">
        <f t="shared" si="28"/>
        <v>12535000000</v>
      </c>
      <c r="J603" s="3" cm="1">
        <f t="array" ref="J603">_xlfn.XLOOKUP(D603,[3]Sheet1!$B$2:$B$78,_xlfn.XLOOKUP(E603,[3]Sheet1!$C$1:$AC$1,[3]Sheet1!$C$2:$AC$78))</f>
        <v>185</v>
      </c>
      <c r="K603" s="3">
        <f t="shared" si="27"/>
        <v>185000</v>
      </c>
      <c r="L603" s="3">
        <f t="shared" si="29"/>
        <v>67756.75675675676</v>
      </c>
      <c r="M603" s="10">
        <v>99.956716987364004</v>
      </c>
      <c r="N603" s="10">
        <v>13.394176237199</v>
      </c>
    </row>
    <row r="604" spans="1:14" hidden="1" x14ac:dyDescent="0.3">
      <c r="A604" s="5">
        <v>50</v>
      </c>
      <c r="B604" s="5" t="str">
        <f>_xlfn.XLOOKUP(D604,'[1]Viirs77-Sol'!$C$2:$C$694,'[1]Viirs77-Sol'!$A$2:$A$694)</f>
        <v>TH-75</v>
      </c>
      <c r="C604" s="5" t="str">
        <f>_xlfn.XLOOKUP(D604,cleanprovinces!$B:$B,cleanprovinces!$A:$A)</f>
        <v>WE</v>
      </c>
      <c r="D604" s="5" t="s">
        <v>95</v>
      </c>
      <c r="E604" s="6">
        <v>2016</v>
      </c>
      <c r="F604" s="7" cm="1">
        <f t="array" ref="F604">_xlfn.XLOOKUP(D604&amp;E604,'[1]Viirs77-Sol'!$C$2:$C$694&amp;'[1]Viirs77-Sol'!$D$2:$D$694,'[1]Viirs77-Sol'!$E$2:$E$694)</f>
        <v>5482.9400400000004</v>
      </c>
      <c r="G604" s="7" cm="1">
        <f t="array" ref="G604">_xlfn.XLOOKUP(B604&amp;E604,'[2]Viirs77-Mean'!$A$2:$A$694&amp;'[2]Viirs77-Mean'!$D$2:$D$694,'[2]Viirs77-Mean'!$E$2:$E$694)</f>
        <v>2.8094702169999999</v>
      </c>
      <c r="H604" s="9" cm="1">
        <f t="array" ref="H604">_xlfn.XLOOKUP(D604,cleanprovinces!$B$2:$B$78,_xlfn.XLOOKUP(panel!E604,cleanprovinces!$C$1:$AC$1,cleanprovinces!$C$2:$AC$78,"no",0,1))</f>
        <v>12607</v>
      </c>
      <c r="I604" s="4">
        <f t="shared" si="28"/>
        <v>12607000000</v>
      </c>
      <c r="J604" s="3" cm="1">
        <f t="array" ref="J604">_xlfn.XLOOKUP(D604,[3]Sheet1!$B$2:$B$78,_xlfn.XLOOKUP(E604,[3]Sheet1!$C$1:$AC$1,[3]Sheet1!$C$2:$AC$78))</f>
        <v>184</v>
      </c>
      <c r="K604" s="3">
        <f t="shared" si="27"/>
        <v>184000</v>
      </c>
      <c r="L604" s="3">
        <f t="shared" si="29"/>
        <v>68516.304347826081</v>
      </c>
      <c r="M604" s="10">
        <v>99.956716987364004</v>
      </c>
      <c r="N604" s="10">
        <v>13.394176237199</v>
      </c>
    </row>
    <row r="605" spans="1:14" hidden="1" x14ac:dyDescent="0.3">
      <c r="A605" s="5">
        <v>50</v>
      </c>
      <c r="B605" s="5" t="str">
        <f>_xlfn.XLOOKUP(D605,'[1]Viirs77-Sol'!$C$2:$C$694,'[1]Viirs77-Sol'!$A$2:$A$694)</f>
        <v>TH-75</v>
      </c>
      <c r="C605" s="5" t="str">
        <f>_xlfn.XLOOKUP(D605,cleanprovinces!$B:$B,cleanprovinces!$A:$A)</f>
        <v>WE</v>
      </c>
      <c r="D605" s="5" t="s">
        <v>95</v>
      </c>
      <c r="E605" s="6">
        <v>2017</v>
      </c>
      <c r="F605" s="7" cm="1">
        <f t="array" ref="F605">_xlfn.XLOOKUP(D605&amp;E605,'[1]Viirs77-Sol'!$C$2:$C$694&amp;'[1]Viirs77-Sol'!$D$2:$D$694,'[1]Viirs77-Sol'!$E$2:$E$694)</f>
        <v>6891.5074240000004</v>
      </c>
      <c r="G605" s="7" cm="1">
        <f t="array" ref="G605">_xlfn.XLOOKUP(B605&amp;E605,'[2]Viirs77-Mean'!$A$2:$A$694&amp;'[2]Viirs77-Mean'!$D$2:$D$694,'[2]Viirs77-Mean'!$E$2:$E$694)</f>
        <v>3.5312231600000001</v>
      </c>
      <c r="H605" s="9" cm="1">
        <f t="array" ref="H605">_xlfn.XLOOKUP(D605,cleanprovinces!$B$2:$B$78,_xlfn.XLOOKUP(panel!E605,cleanprovinces!$C$1:$AC$1,cleanprovinces!$C$2:$AC$78,"no",0,1))</f>
        <v>14833</v>
      </c>
      <c r="I605" s="4">
        <f t="shared" si="28"/>
        <v>14833000000</v>
      </c>
      <c r="J605" s="3" cm="1">
        <f t="array" ref="J605">_xlfn.XLOOKUP(D605,[3]Sheet1!$B$2:$B$78,_xlfn.XLOOKUP(E605,[3]Sheet1!$C$1:$AC$1,[3]Sheet1!$C$2:$AC$78))</f>
        <v>183</v>
      </c>
      <c r="K605" s="3">
        <f t="shared" si="27"/>
        <v>183000</v>
      </c>
      <c r="L605" s="3">
        <f t="shared" si="29"/>
        <v>81054.644808743164</v>
      </c>
      <c r="M605" s="10">
        <v>99.956716987364004</v>
      </c>
      <c r="N605" s="10">
        <v>13.394176237199</v>
      </c>
    </row>
    <row r="606" spans="1:14" hidden="1" x14ac:dyDescent="0.3">
      <c r="A606" s="5">
        <v>50</v>
      </c>
      <c r="B606" s="5" t="str">
        <f>_xlfn.XLOOKUP(D606,'[1]Viirs77-Sol'!$C$2:$C$694,'[1]Viirs77-Sol'!$A$2:$A$694)</f>
        <v>TH-75</v>
      </c>
      <c r="C606" s="5" t="str">
        <f>_xlfn.XLOOKUP(D606,cleanprovinces!$B:$B,cleanprovinces!$A:$A)</f>
        <v>WE</v>
      </c>
      <c r="D606" s="5" t="s">
        <v>95</v>
      </c>
      <c r="E606" s="6">
        <v>2018</v>
      </c>
      <c r="F606" s="7" cm="1">
        <f t="array" ref="F606">_xlfn.XLOOKUP(D606&amp;E606,'[1]Viirs77-Sol'!$C$2:$C$694&amp;'[1]Viirs77-Sol'!$D$2:$D$694,'[1]Viirs77-Sol'!$E$2:$E$694)</f>
        <v>8085.8830770000004</v>
      </c>
      <c r="G606" s="7" cm="1">
        <f t="array" ref="G606">_xlfn.XLOOKUP(B606&amp;E606,'[2]Viirs77-Mean'!$A$2:$A$694&amp;'[2]Viirs77-Mean'!$D$2:$D$694,'[2]Viirs77-Mean'!$E$2:$E$694)</f>
        <v>4.1432238019999996</v>
      </c>
      <c r="H606" s="9" cm="1">
        <f t="array" ref="H606">_xlfn.XLOOKUP(D606,cleanprovinces!$B$2:$B$78,_xlfn.XLOOKUP(panel!E606,cleanprovinces!$C$1:$AC$1,cleanprovinces!$C$2:$AC$78,"no",0,1))</f>
        <v>15474</v>
      </c>
      <c r="I606" s="4">
        <f t="shared" si="28"/>
        <v>15474000000</v>
      </c>
      <c r="J606" s="3" cm="1">
        <f t="array" ref="J606">_xlfn.XLOOKUP(D606,[3]Sheet1!$B$2:$B$78,_xlfn.XLOOKUP(E606,[3]Sheet1!$C$1:$AC$1,[3]Sheet1!$C$2:$AC$78))</f>
        <v>182</v>
      </c>
      <c r="K606" s="3">
        <f t="shared" si="27"/>
        <v>182000</v>
      </c>
      <c r="L606" s="3">
        <f t="shared" si="29"/>
        <v>85021.978021978022</v>
      </c>
      <c r="M606" s="10">
        <v>99.956716987364004</v>
      </c>
      <c r="N606" s="10">
        <v>13.394176237199</v>
      </c>
    </row>
    <row r="607" spans="1:14" hidden="1" x14ac:dyDescent="0.3">
      <c r="A607" s="5">
        <v>50</v>
      </c>
      <c r="B607" s="5" t="str">
        <f>_xlfn.XLOOKUP(D607,'[1]Viirs77-Sol'!$C$2:$C$694,'[1]Viirs77-Sol'!$A$2:$A$694)</f>
        <v>TH-75</v>
      </c>
      <c r="C607" s="5" t="str">
        <f>_xlfn.XLOOKUP(D607,cleanprovinces!$B:$B,cleanprovinces!$A:$A)</f>
        <v>WE</v>
      </c>
      <c r="D607" s="5" t="s">
        <v>95</v>
      </c>
      <c r="E607" s="6">
        <v>2019</v>
      </c>
      <c r="F607" s="7" cm="1">
        <f t="array" ref="F607">_xlfn.XLOOKUP(D607&amp;E607,'[1]Viirs77-Sol'!$C$2:$C$694&amp;'[1]Viirs77-Sol'!$D$2:$D$694,'[1]Viirs77-Sol'!$E$2:$E$694)</f>
        <v>8330.3309530000006</v>
      </c>
      <c r="G607" s="7" cm="1">
        <f t="array" ref="G607">_xlfn.XLOOKUP(B607&amp;E607,'[2]Viirs77-Mean'!$A$2:$A$694&amp;'[2]Viirs77-Mean'!$D$2:$D$694,'[2]Viirs77-Mean'!$E$2:$E$694)</f>
        <v>4.2684794180000001</v>
      </c>
      <c r="H607" s="9" cm="1">
        <f t="array" ref="H607">_xlfn.XLOOKUP(D607,cleanprovinces!$B$2:$B$78,_xlfn.XLOOKUP(panel!E607,cleanprovinces!$C$1:$AC$1,cleanprovinces!$C$2:$AC$78,"no",0,1))</f>
        <v>16023</v>
      </c>
      <c r="I607" s="4">
        <f t="shared" si="28"/>
        <v>16023000000</v>
      </c>
      <c r="J607" s="3" cm="1">
        <f t="array" ref="J607">_xlfn.XLOOKUP(D607,[3]Sheet1!$B$2:$B$78,_xlfn.XLOOKUP(E607,[3]Sheet1!$C$1:$AC$1,[3]Sheet1!$C$2:$AC$78))</f>
        <v>181</v>
      </c>
      <c r="K607" s="3">
        <f t="shared" si="27"/>
        <v>181000</v>
      </c>
      <c r="L607" s="3">
        <f t="shared" si="29"/>
        <v>88524.861878453041</v>
      </c>
      <c r="M607" s="10">
        <v>99.956716987364004</v>
      </c>
      <c r="N607" s="10">
        <v>13.394176237199</v>
      </c>
    </row>
    <row r="608" spans="1:14" hidden="1" x14ac:dyDescent="0.3">
      <c r="A608" s="5">
        <v>50</v>
      </c>
      <c r="B608" s="5" t="str">
        <f>_xlfn.XLOOKUP(D608,'[1]Viirs77-Sol'!$C$2:$C$694,'[1]Viirs77-Sol'!$A$2:$A$694)</f>
        <v>TH-75</v>
      </c>
      <c r="C608" s="5" t="str">
        <f>_xlfn.XLOOKUP(D608,cleanprovinces!$B:$B,cleanprovinces!$A:$A)</f>
        <v>WE</v>
      </c>
      <c r="D608" s="5" t="s">
        <v>95</v>
      </c>
      <c r="E608" s="6">
        <v>2020</v>
      </c>
      <c r="F608" s="7" cm="1">
        <f t="array" ref="F608">_xlfn.XLOOKUP(D608&amp;E608,'[1]Viirs77-Sol'!$C$2:$C$694&amp;'[1]Viirs77-Sol'!$D$2:$D$694,'[1]Viirs77-Sol'!$E$2:$E$694)</f>
        <v>8503.1918459999997</v>
      </c>
      <c r="G608" s="7" cm="1">
        <f t="array" ref="G608">_xlfn.XLOOKUP(B608&amp;E608,'[2]Viirs77-Mean'!$A$2:$A$694&amp;'[2]Viirs77-Mean'!$D$2:$D$694,'[2]Viirs77-Mean'!$E$2:$E$694)</f>
        <v>4.3570537089999997</v>
      </c>
      <c r="H608" s="9" cm="1">
        <f t="array" ref="H608">_xlfn.XLOOKUP(D608,cleanprovinces!$B$2:$B$78,_xlfn.XLOOKUP(panel!E608,cleanprovinces!$C$1:$AC$1,cleanprovinces!$C$2:$AC$78,"no",0,1))</f>
        <v>16104</v>
      </c>
      <c r="I608" s="4">
        <f t="shared" si="28"/>
        <v>16104000000</v>
      </c>
      <c r="J608" s="3" cm="1">
        <f t="array" ref="J608">_xlfn.XLOOKUP(D608,[3]Sheet1!$B$2:$B$78,_xlfn.XLOOKUP(E608,[3]Sheet1!$C$1:$AC$1,[3]Sheet1!$C$2:$AC$78))</f>
        <v>179</v>
      </c>
      <c r="K608" s="3">
        <f t="shared" si="27"/>
        <v>179000</v>
      </c>
      <c r="L608" s="3">
        <f t="shared" si="29"/>
        <v>89966.48044692738</v>
      </c>
      <c r="M608" s="10">
        <v>99.956716987364004</v>
      </c>
      <c r="N608" s="10">
        <v>13.394176237199</v>
      </c>
    </row>
    <row r="609" spans="1:14" hidden="1" x14ac:dyDescent="0.3">
      <c r="A609" s="5">
        <v>50</v>
      </c>
      <c r="B609" s="5" t="str">
        <f>_xlfn.XLOOKUP(D609,'[1]Viirs77-Sol'!$C$2:$C$694,'[1]Viirs77-Sol'!$A$2:$A$694)</f>
        <v>TH-75</v>
      </c>
      <c r="C609" s="5" t="str">
        <f>_xlfn.XLOOKUP(D609,cleanprovinces!$B:$B,cleanprovinces!$A:$A)</f>
        <v>WE</v>
      </c>
      <c r="D609" s="5" t="s">
        <v>95</v>
      </c>
      <c r="E609" s="6">
        <v>2021</v>
      </c>
      <c r="F609" s="7" cm="1">
        <f t="array" ref="F609">_xlfn.XLOOKUP(D609&amp;E609,'[1]Viirs77-Sol'!$C$2:$C$694&amp;'[1]Viirs77-Sol'!$D$2:$D$694,'[1]Viirs77-Sol'!$E$2:$E$694)</f>
        <v>9179.2940920000001</v>
      </c>
      <c r="G609" s="7" cm="1">
        <f t="array" ref="G609">_xlfn.XLOOKUP(B609&amp;E609,'[2]Viirs77-Mean'!$A$2:$A$694&amp;'[2]Viirs77-Mean'!$D$2:$D$694,'[2]Viirs77-Mean'!$E$2:$E$694)</f>
        <v>4.7034899479999996</v>
      </c>
      <c r="H609" s="9" cm="1">
        <f t="array" ref="H609">_xlfn.XLOOKUP(D609,cleanprovinces!$B$2:$B$78,_xlfn.XLOOKUP(panel!E609,cleanprovinces!$C$1:$AC$1,cleanprovinces!$C$2:$AC$78,"no",0,1))</f>
        <v>16860</v>
      </c>
      <c r="I609" s="4">
        <f t="shared" si="28"/>
        <v>16860000000</v>
      </c>
      <c r="J609" s="3" cm="1">
        <f t="array" ref="J609">_xlfn.XLOOKUP(D609,[3]Sheet1!$B$2:$B$78,_xlfn.XLOOKUP(E609,[3]Sheet1!$C$1:$AC$1,[3]Sheet1!$C$2:$AC$78))</f>
        <v>178</v>
      </c>
      <c r="K609" s="3">
        <f t="shared" si="27"/>
        <v>178000</v>
      </c>
      <c r="L609" s="3">
        <f t="shared" si="29"/>
        <v>94719.101123595508</v>
      </c>
      <c r="M609" s="10">
        <v>99.956716987364004</v>
      </c>
      <c r="N609" s="10">
        <v>13.394176237199</v>
      </c>
    </row>
    <row r="610" spans="1:14" hidden="1" x14ac:dyDescent="0.3">
      <c r="A610" s="5">
        <v>48</v>
      </c>
      <c r="B610" s="5" t="str">
        <f>_xlfn.XLOOKUP(D610,'[1]Viirs77-Sol'!$C$2:$C$694,'[1]Viirs77-Sol'!$A$2:$A$694)</f>
        <v>TH-72</v>
      </c>
      <c r="C610" s="5" t="str">
        <f>_xlfn.XLOOKUP(D610,cleanprovinces!$B:$B,cleanprovinces!$A:$A)</f>
        <v>WE</v>
      </c>
      <c r="D610" s="5" t="s">
        <v>94</v>
      </c>
      <c r="E610" s="6">
        <v>2014</v>
      </c>
      <c r="F610" s="7" cm="1">
        <f t="array" ref="F610">_xlfn.XLOOKUP(D610&amp;E610,'[1]Viirs77-Sol'!$C$2:$C$694&amp;'[1]Viirs77-Sol'!$D$2:$D$694,'[1]Viirs77-Sol'!$E$2:$E$694)</f>
        <v>20074.595280000001</v>
      </c>
      <c r="G610" s="7" cm="1">
        <f t="array" ref="G610">_xlfn.XLOOKUP(B610&amp;E610,'[2]Viirs77-Mean'!$A$2:$A$694&amp;'[2]Viirs77-Mean'!$D$2:$D$694,'[2]Viirs77-Mean'!$E$2:$E$694)</f>
        <v>0.771283049</v>
      </c>
      <c r="H610" s="9" cm="1">
        <f t="array" ref="H610">_xlfn.XLOOKUP(D610,cleanprovinces!$B$2:$B$78,_xlfn.XLOOKUP(panel!E610,cleanprovinces!$C$1:$AC$1,cleanprovinces!$C$2:$AC$78,"no",0,1))</f>
        <v>46968</v>
      </c>
      <c r="I610" s="4">
        <f t="shared" si="28"/>
        <v>46968000000</v>
      </c>
      <c r="J610" s="3" cm="1">
        <f t="array" ref="J610">_xlfn.XLOOKUP(D610,[3]Sheet1!$B$2:$B$78,_xlfn.XLOOKUP(E610,[3]Sheet1!$C$1:$AC$1,[3]Sheet1!$C$2:$AC$78))</f>
        <v>850</v>
      </c>
      <c r="K610" s="3">
        <f t="shared" si="27"/>
        <v>850000</v>
      </c>
      <c r="L610" s="3">
        <f t="shared" si="29"/>
        <v>55256.470588235294</v>
      </c>
      <c r="M610" s="10">
        <v>99.899848308711199</v>
      </c>
      <c r="N610" s="10">
        <v>14.606305750134</v>
      </c>
    </row>
    <row r="611" spans="1:14" hidden="1" x14ac:dyDescent="0.3">
      <c r="A611" s="5">
        <v>48</v>
      </c>
      <c r="B611" s="5" t="str">
        <f>_xlfn.XLOOKUP(D611,'[1]Viirs77-Sol'!$C$2:$C$694,'[1]Viirs77-Sol'!$A$2:$A$694)</f>
        <v>TH-72</v>
      </c>
      <c r="C611" s="5" t="str">
        <f>_xlfn.XLOOKUP(D611,cleanprovinces!$B:$B,cleanprovinces!$A:$A)</f>
        <v>WE</v>
      </c>
      <c r="D611" s="5" t="s">
        <v>94</v>
      </c>
      <c r="E611" s="6">
        <v>2015</v>
      </c>
      <c r="F611" s="7" cm="1">
        <f t="array" ref="F611">_xlfn.XLOOKUP(D611&amp;E611,'[1]Viirs77-Sol'!$C$2:$C$694&amp;'[1]Viirs77-Sol'!$D$2:$D$694,'[1]Viirs77-Sol'!$E$2:$E$694)</f>
        <v>23241.58711</v>
      </c>
      <c r="G611" s="7" cm="1">
        <f t="array" ref="G611">_xlfn.XLOOKUP(B611&amp;E611,'[2]Viirs77-Mean'!$A$2:$A$694&amp;'[2]Viirs77-Mean'!$D$2:$D$694,'[2]Viirs77-Mean'!$E$2:$E$694)</f>
        <v>0.89296157300000001</v>
      </c>
      <c r="H611" s="9" cm="1">
        <f t="array" ref="H611">_xlfn.XLOOKUP(D611,cleanprovinces!$B$2:$B$78,_xlfn.XLOOKUP(panel!E611,cleanprovinces!$C$1:$AC$1,cleanprovinces!$C$2:$AC$78,"no",0,1))</f>
        <v>49387</v>
      </c>
      <c r="I611" s="4">
        <f t="shared" si="28"/>
        <v>49387000000</v>
      </c>
      <c r="J611" s="3" cm="1">
        <f t="array" ref="J611">_xlfn.XLOOKUP(D611,[3]Sheet1!$B$2:$B$78,_xlfn.XLOOKUP(E611,[3]Sheet1!$C$1:$AC$1,[3]Sheet1!$C$2:$AC$78))</f>
        <v>851</v>
      </c>
      <c r="K611" s="3">
        <f t="shared" si="27"/>
        <v>851000</v>
      </c>
      <c r="L611" s="3">
        <f t="shared" si="29"/>
        <v>58034.077555816686</v>
      </c>
      <c r="M611" s="10">
        <v>99.899848308711199</v>
      </c>
      <c r="N611" s="10">
        <v>14.606305750134</v>
      </c>
    </row>
    <row r="612" spans="1:14" hidden="1" x14ac:dyDescent="0.3">
      <c r="A612" s="5">
        <v>48</v>
      </c>
      <c r="B612" s="5" t="str">
        <f>_xlfn.XLOOKUP(D612,'[1]Viirs77-Sol'!$C$2:$C$694,'[1]Viirs77-Sol'!$A$2:$A$694)</f>
        <v>TH-72</v>
      </c>
      <c r="C612" s="5" t="str">
        <f>_xlfn.XLOOKUP(D612,cleanprovinces!$B:$B,cleanprovinces!$A:$A)</f>
        <v>WE</v>
      </c>
      <c r="D612" s="5" t="s">
        <v>94</v>
      </c>
      <c r="E612" s="6">
        <v>2016</v>
      </c>
      <c r="F612" s="7" cm="1">
        <f t="array" ref="F612">_xlfn.XLOOKUP(D612&amp;E612,'[1]Viirs77-Sol'!$C$2:$C$694&amp;'[1]Viirs77-Sol'!$D$2:$D$694,'[1]Viirs77-Sol'!$E$2:$E$694)</f>
        <v>24584.38867</v>
      </c>
      <c r="G612" s="7" cm="1">
        <f t="array" ref="G612">_xlfn.XLOOKUP(B612&amp;E612,'[2]Viirs77-Mean'!$A$2:$A$694&amp;'[2]Viirs77-Mean'!$D$2:$D$694,'[2]Viirs77-Mean'!$E$2:$E$694)</f>
        <v>0.94455315299999998</v>
      </c>
      <c r="H612" s="9" cm="1">
        <f t="array" ref="H612">_xlfn.XLOOKUP(D612,cleanprovinces!$B$2:$B$78,_xlfn.XLOOKUP(panel!E612,cleanprovinces!$C$1:$AC$1,cleanprovinces!$C$2:$AC$78,"no",0,1))</f>
        <v>46365</v>
      </c>
      <c r="I612" s="4">
        <f t="shared" si="28"/>
        <v>46365000000</v>
      </c>
      <c r="J612" s="3" cm="1">
        <f t="array" ref="J612">_xlfn.XLOOKUP(D612,[3]Sheet1!$B$2:$B$78,_xlfn.XLOOKUP(E612,[3]Sheet1!$C$1:$AC$1,[3]Sheet1!$C$2:$AC$78))</f>
        <v>852</v>
      </c>
      <c r="K612" s="3">
        <f t="shared" si="27"/>
        <v>852000</v>
      </c>
      <c r="L612" s="3">
        <f t="shared" si="29"/>
        <v>54419.014084507042</v>
      </c>
      <c r="M612" s="10">
        <v>99.899848308711199</v>
      </c>
      <c r="N612" s="10">
        <v>14.606305750134</v>
      </c>
    </row>
    <row r="613" spans="1:14" hidden="1" x14ac:dyDescent="0.3">
      <c r="A613" s="5">
        <v>48</v>
      </c>
      <c r="B613" s="5" t="str">
        <f>_xlfn.XLOOKUP(D613,'[1]Viirs77-Sol'!$C$2:$C$694,'[1]Viirs77-Sol'!$A$2:$A$694)</f>
        <v>TH-72</v>
      </c>
      <c r="C613" s="5" t="str">
        <f>_xlfn.XLOOKUP(D613,cleanprovinces!$B:$B,cleanprovinces!$A:$A)</f>
        <v>WE</v>
      </c>
      <c r="D613" s="5" t="s">
        <v>94</v>
      </c>
      <c r="E613" s="6">
        <v>2017</v>
      </c>
      <c r="F613" s="7" cm="1">
        <f t="array" ref="F613">_xlfn.XLOOKUP(D613&amp;E613,'[1]Viirs77-Sol'!$C$2:$C$694&amp;'[1]Viirs77-Sol'!$D$2:$D$694,'[1]Viirs77-Sol'!$E$2:$E$694)</f>
        <v>28890.642790000002</v>
      </c>
      <c r="G613" s="7" cm="1">
        <f t="array" ref="G613">_xlfn.XLOOKUP(B613&amp;E613,'[2]Viirs77-Mean'!$A$2:$A$694&amp;'[2]Viirs77-Mean'!$D$2:$D$694,'[2]Viirs77-Mean'!$E$2:$E$694)</f>
        <v>1.110003104</v>
      </c>
      <c r="H613" s="9" cm="1">
        <f t="array" ref="H613">_xlfn.XLOOKUP(D613,cleanprovinces!$B$2:$B$78,_xlfn.XLOOKUP(panel!E613,cleanprovinces!$C$1:$AC$1,cleanprovinces!$C$2:$AC$78,"no",0,1))</f>
        <v>48895</v>
      </c>
      <c r="I613" s="4">
        <f t="shared" si="28"/>
        <v>48895000000</v>
      </c>
      <c r="J613" s="3" cm="1">
        <f t="array" ref="J613">_xlfn.XLOOKUP(D613,[3]Sheet1!$B$2:$B$78,_xlfn.XLOOKUP(E613,[3]Sheet1!$C$1:$AC$1,[3]Sheet1!$C$2:$AC$78))</f>
        <v>853</v>
      </c>
      <c r="K613" s="3">
        <f t="shared" si="27"/>
        <v>853000</v>
      </c>
      <c r="L613" s="3">
        <f t="shared" si="29"/>
        <v>57321.219226260255</v>
      </c>
      <c r="M613" s="10">
        <v>99.899848308711199</v>
      </c>
      <c r="N613" s="10">
        <v>14.606305750134</v>
      </c>
    </row>
    <row r="614" spans="1:14" hidden="1" x14ac:dyDescent="0.3">
      <c r="A614" s="5">
        <v>48</v>
      </c>
      <c r="B614" s="5" t="str">
        <f>_xlfn.XLOOKUP(D614,'[1]Viirs77-Sol'!$C$2:$C$694,'[1]Viirs77-Sol'!$A$2:$A$694)</f>
        <v>TH-72</v>
      </c>
      <c r="C614" s="5" t="str">
        <f>_xlfn.XLOOKUP(D614,cleanprovinces!$B:$B,cleanprovinces!$A:$A)</f>
        <v>WE</v>
      </c>
      <c r="D614" s="5" t="s">
        <v>94</v>
      </c>
      <c r="E614" s="6">
        <v>2018</v>
      </c>
      <c r="F614" s="7" cm="1">
        <f t="array" ref="F614">_xlfn.XLOOKUP(D614&amp;E614,'[1]Viirs77-Sol'!$C$2:$C$694&amp;'[1]Viirs77-Sol'!$D$2:$D$694,'[1]Viirs77-Sol'!$E$2:$E$694)</f>
        <v>29696.318319999998</v>
      </c>
      <c r="G614" s="7" cm="1">
        <f t="array" ref="G614">_xlfn.XLOOKUP(B614&amp;E614,'[2]Viirs77-Mean'!$A$2:$A$694&amp;'[2]Viirs77-Mean'!$D$2:$D$694,'[2]Viirs77-Mean'!$E$2:$E$694)</f>
        <v>1.1409578440000001</v>
      </c>
      <c r="H614" s="9" cm="1">
        <f t="array" ref="H614">_xlfn.XLOOKUP(D614,cleanprovinces!$B$2:$B$78,_xlfn.XLOOKUP(panel!E614,cleanprovinces!$C$1:$AC$1,cleanprovinces!$C$2:$AC$78,"no",0,1))</f>
        <v>52610</v>
      </c>
      <c r="I614" s="4">
        <f t="shared" si="28"/>
        <v>52610000000</v>
      </c>
      <c r="J614" s="3" cm="1">
        <f t="array" ref="J614">_xlfn.XLOOKUP(D614,[3]Sheet1!$B$2:$B$78,_xlfn.XLOOKUP(E614,[3]Sheet1!$C$1:$AC$1,[3]Sheet1!$C$2:$AC$78))</f>
        <v>854</v>
      </c>
      <c r="K614" s="3">
        <f t="shared" si="27"/>
        <v>854000</v>
      </c>
      <c r="L614" s="3">
        <f t="shared" si="29"/>
        <v>61604.215456674472</v>
      </c>
      <c r="M614" s="10">
        <v>99.899848308711199</v>
      </c>
      <c r="N614" s="10">
        <v>14.606305750134</v>
      </c>
    </row>
    <row r="615" spans="1:14" hidden="1" x14ac:dyDescent="0.3">
      <c r="A615" s="5">
        <v>48</v>
      </c>
      <c r="B615" s="5" t="str">
        <f>_xlfn.XLOOKUP(D615,'[1]Viirs77-Sol'!$C$2:$C$694,'[1]Viirs77-Sol'!$A$2:$A$694)</f>
        <v>TH-72</v>
      </c>
      <c r="C615" s="5" t="str">
        <f>_xlfn.XLOOKUP(D615,cleanprovinces!$B:$B,cleanprovinces!$A:$A)</f>
        <v>WE</v>
      </c>
      <c r="D615" s="5" t="s">
        <v>94</v>
      </c>
      <c r="E615" s="6">
        <v>2019</v>
      </c>
      <c r="F615" s="7" cm="1">
        <f t="array" ref="F615">_xlfn.XLOOKUP(D615&amp;E615,'[1]Viirs77-Sol'!$C$2:$C$694&amp;'[1]Viirs77-Sol'!$D$2:$D$694,'[1]Viirs77-Sol'!$E$2:$E$694)</f>
        <v>30248.169559999998</v>
      </c>
      <c r="G615" s="7" cm="1">
        <f t="array" ref="G615">_xlfn.XLOOKUP(B615&amp;E615,'[2]Viirs77-Mean'!$A$2:$A$694&amp;'[2]Viirs77-Mean'!$D$2:$D$694,'[2]Viirs77-Mean'!$E$2:$E$694)</f>
        <v>1.162160439</v>
      </c>
      <c r="H615" s="9" cm="1">
        <f t="array" ref="H615">_xlfn.XLOOKUP(D615,cleanprovinces!$B$2:$B$78,_xlfn.XLOOKUP(panel!E615,cleanprovinces!$C$1:$AC$1,cleanprovinces!$C$2:$AC$78,"no",0,1))</f>
        <v>51809</v>
      </c>
      <c r="I615" s="4">
        <f t="shared" si="28"/>
        <v>51809000000</v>
      </c>
      <c r="J615" s="3" cm="1">
        <f t="array" ref="J615">_xlfn.XLOOKUP(D615,[3]Sheet1!$B$2:$B$78,_xlfn.XLOOKUP(E615,[3]Sheet1!$C$1:$AC$1,[3]Sheet1!$C$2:$AC$78))</f>
        <v>853</v>
      </c>
      <c r="K615" s="3">
        <f t="shared" si="27"/>
        <v>853000</v>
      </c>
      <c r="L615" s="3">
        <f t="shared" si="29"/>
        <v>60737.397420867528</v>
      </c>
      <c r="M615" s="10">
        <v>99.899848308711199</v>
      </c>
      <c r="N615" s="10">
        <v>14.606305750134</v>
      </c>
    </row>
    <row r="616" spans="1:14" hidden="1" x14ac:dyDescent="0.3">
      <c r="A616" s="5">
        <v>48</v>
      </c>
      <c r="B616" s="5" t="str">
        <f>_xlfn.XLOOKUP(D616,'[1]Viirs77-Sol'!$C$2:$C$694,'[1]Viirs77-Sol'!$A$2:$A$694)</f>
        <v>TH-72</v>
      </c>
      <c r="C616" s="5" t="str">
        <f>_xlfn.XLOOKUP(D616,cleanprovinces!$B:$B,cleanprovinces!$A:$A)</f>
        <v>WE</v>
      </c>
      <c r="D616" s="5" t="s">
        <v>94</v>
      </c>
      <c r="E616" s="6">
        <v>2020</v>
      </c>
      <c r="F616" s="7" cm="1">
        <f t="array" ref="F616">_xlfn.XLOOKUP(D616&amp;E616,'[1]Viirs77-Sol'!$C$2:$C$694&amp;'[1]Viirs77-Sol'!$D$2:$D$694,'[1]Viirs77-Sol'!$E$2:$E$694)</f>
        <v>31356.560389999999</v>
      </c>
      <c r="G616" s="7" cm="1">
        <f t="array" ref="G616">_xlfn.XLOOKUP(B616&amp;E616,'[2]Viirs77-Mean'!$A$2:$A$694&amp;'[2]Viirs77-Mean'!$D$2:$D$694,'[2]Viirs77-Mean'!$E$2:$E$694)</f>
        <v>1.2047457589999999</v>
      </c>
      <c r="H616" s="9" cm="1">
        <f t="array" ref="H616">_xlfn.XLOOKUP(D616,cleanprovinces!$B$2:$B$78,_xlfn.XLOOKUP(panel!E616,cleanprovinces!$C$1:$AC$1,cleanprovinces!$C$2:$AC$78,"no",0,1))</f>
        <v>48833</v>
      </c>
      <c r="I616" s="4">
        <f t="shared" si="28"/>
        <v>48833000000</v>
      </c>
      <c r="J616" s="3" cm="1">
        <f t="array" ref="J616">_xlfn.XLOOKUP(D616,[3]Sheet1!$B$2:$B$78,_xlfn.XLOOKUP(E616,[3]Sheet1!$C$1:$AC$1,[3]Sheet1!$C$2:$AC$78))</f>
        <v>852</v>
      </c>
      <c r="K616" s="3">
        <f t="shared" si="27"/>
        <v>852000</v>
      </c>
      <c r="L616" s="3">
        <f t="shared" si="29"/>
        <v>57315.727699530515</v>
      </c>
      <c r="M616" s="10">
        <v>99.899848308711199</v>
      </c>
      <c r="N616" s="10">
        <v>14.606305750134</v>
      </c>
    </row>
    <row r="617" spans="1:14" hidden="1" x14ac:dyDescent="0.3">
      <c r="A617" s="5">
        <v>48</v>
      </c>
      <c r="B617" s="5" t="str">
        <f>_xlfn.XLOOKUP(D617,'[1]Viirs77-Sol'!$C$2:$C$694,'[1]Viirs77-Sol'!$A$2:$A$694)</f>
        <v>TH-72</v>
      </c>
      <c r="C617" s="5" t="str">
        <f>_xlfn.XLOOKUP(D617,cleanprovinces!$B:$B,cleanprovinces!$A:$A)</f>
        <v>WE</v>
      </c>
      <c r="D617" s="5" t="s">
        <v>94</v>
      </c>
      <c r="E617" s="6">
        <v>2021</v>
      </c>
      <c r="F617" s="7" cm="1">
        <f t="array" ref="F617">_xlfn.XLOOKUP(D617&amp;E617,'[1]Viirs77-Sol'!$C$2:$C$694&amp;'[1]Viirs77-Sol'!$D$2:$D$694,'[1]Viirs77-Sol'!$E$2:$E$694)</f>
        <v>37658.173320000002</v>
      </c>
      <c r="G617" s="7" cm="1">
        <f t="array" ref="G617">_xlfn.XLOOKUP(B617&amp;E617,'[2]Viirs77-Mean'!$A$2:$A$694&amp;'[2]Viirs77-Mean'!$D$2:$D$694,'[2]Viirs77-Mean'!$E$2:$E$694)</f>
        <v>1.446859095</v>
      </c>
      <c r="H617" s="9" cm="1">
        <f t="array" ref="H617">_xlfn.XLOOKUP(D617,cleanprovinces!$B$2:$B$78,_xlfn.XLOOKUP(panel!E617,cleanprovinces!$C$1:$AC$1,cleanprovinces!$C$2:$AC$78,"no",0,1))</f>
        <v>49839</v>
      </c>
      <c r="I617" s="4">
        <f t="shared" si="28"/>
        <v>49839000000</v>
      </c>
      <c r="J617" s="3" cm="1">
        <f t="array" ref="J617">_xlfn.XLOOKUP(D617,[3]Sheet1!$B$2:$B$78,_xlfn.XLOOKUP(E617,[3]Sheet1!$C$1:$AC$1,[3]Sheet1!$C$2:$AC$78))</f>
        <v>850</v>
      </c>
      <c r="K617" s="3">
        <f t="shared" si="27"/>
        <v>850000</v>
      </c>
      <c r="L617" s="3">
        <f t="shared" si="29"/>
        <v>58634.117647058825</v>
      </c>
      <c r="M617" s="10">
        <v>99.899848308711199</v>
      </c>
      <c r="N617" s="10">
        <v>14.606305750134</v>
      </c>
    </row>
  </sheetData>
  <autoFilter ref="A1:L617" xr:uid="{07F5F6C2-4609-4A1D-AD65-AF19A5E2AADA}">
    <filterColumn colId="3">
      <filters>
        <filter val="Amnat Chareon"/>
      </filters>
    </filterColumn>
  </autoFilter>
  <sortState xmlns:xlrd2="http://schemas.microsoft.com/office/spreadsheetml/2017/richdata2" ref="A2:E617">
    <sortCondition ref="C2:C61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7E4F54-FBD5-4623-8840-D5DF7F61B9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Allprovinces</vt:lpstr>
      <vt:lpstr>cleanprovinces</vt:lpstr>
      <vt:lpstr>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Wilaiprn Najorn</dc:creator>
  <cp:lastModifiedBy>Wilaiprn Najorn</cp:lastModifiedBy>
  <dcterms:created xsi:type="dcterms:W3CDTF">2024-03-20T09:15:19Z</dcterms:created>
  <dcterms:modified xsi:type="dcterms:W3CDTF">2024-06-16T11:05:35Z</dcterms:modified>
</cp:coreProperties>
</file>